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20" yWindow="-120" windowWidth="19420" windowHeight="11020" activeTab="2"/>
  </bookViews>
  <sheets>
    <sheet name="CA" sheetId="1" r:id="rId1"/>
    <sheet name="OBJ" sheetId="2" r:id="rId2"/>
    <sheet name="EXAM" sheetId="3" r:id="rId3"/>
  </sheets>
  <externalReferences>
    <externalReference r:id="rId4"/>
  </externalReferenc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2" i="2"/>
</calcChain>
</file>

<file path=xl/sharedStrings.xml><?xml version="1.0" encoding="utf-8"?>
<sst xmlns="http://schemas.openxmlformats.org/spreadsheetml/2006/main" count="801" uniqueCount="268">
  <si>
    <t>S/N</t>
  </si>
  <si>
    <t>REG. No</t>
  </si>
  <si>
    <t>NAME</t>
  </si>
  <si>
    <t>HUMAN ANATOMY I</t>
  </si>
  <si>
    <t>MEDICAL MICROBIOLOGY</t>
  </si>
  <si>
    <t>COOMUNICATION IN ENGLISH I</t>
  </si>
  <si>
    <t>CITIZENSHIP EDUCATION I</t>
  </si>
  <si>
    <t>APPLIED CHEMISTRY</t>
  </si>
  <si>
    <t>FOUNDATION  OF NSG I</t>
  </si>
  <si>
    <t>APPLIED PHYSICS</t>
  </si>
  <si>
    <t>HUMAN PHYSIOLOGY I</t>
  </si>
  <si>
    <t>USE OF COMPUTER</t>
  </si>
  <si>
    <t>INTRODUCTION TO SOCIOLOGY</t>
  </si>
  <si>
    <t>Foundations of Nursing/ Emergency Care I</t>
  </si>
  <si>
    <t>FCTCONS/ND23/001</t>
  </si>
  <si>
    <t>IBIAM CHINYERE IFEOMA</t>
  </si>
  <si>
    <t>FCTCONS/ND23/002</t>
  </si>
  <si>
    <t>HASSAN AISHA GARBA</t>
  </si>
  <si>
    <t>FCTCONS/ND23/003</t>
  </si>
  <si>
    <t>AKINYEMI OSIEKAFORE ESTHER</t>
  </si>
  <si>
    <t>FCTCONS/ND23/004</t>
  </si>
  <si>
    <t>OFIKWU MARTHA OGWA</t>
  </si>
  <si>
    <t>FCTCONS/ND23/005</t>
  </si>
  <si>
    <t>LENKA NENRIT HANNAH</t>
  </si>
  <si>
    <t>FCTCONS/ND23/006</t>
  </si>
  <si>
    <t>JAMES ABIGAIL AKAITO</t>
  </si>
  <si>
    <t>FCTCONS/ND23/007</t>
  </si>
  <si>
    <t>AZONABOR SARAH OMOSE</t>
  </si>
  <si>
    <t>FCTCONS/ND23/008</t>
  </si>
  <si>
    <t>ONYESO DAVID CHUKWUDI</t>
  </si>
  <si>
    <t>FCTCONS/ND23/009</t>
  </si>
  <si>
    <t>ORAKWUE CHIZITELU SHARON</t>
  </si>
  <si>
    <t>FCTCONS/ND23/010</t>
  </si>
  <si>
    <t>OGUNDELE ADEDAMOLA BOLUWATIFE</t>
  </si>
  <si>
    <t>FCTCONS/ND23/011</t>
  </si>
  <si>
    <t>ISAH USMAN ILIYASU</t>
  </si>
  <si>
    <t>FCTCONS/ND23/012</t>
  </si>
  <si>
    <t>JONATHAN BRIGHT MICHAEL</t>
  </si>
  <si>
    <t>FCTCONS/ND23/013</t>
  </si>
  <si>
    <t>PAMDEP JONATHAN IBRAHIM</t>
  </si>
  <si>
    <t>FCTCONS/ND23/014</t>
  </si>
  <si>
    <t>OKOLI CHIEMERIE UZOMA</t>
  </si>
  <si>
    <t>FCTCONS/ND23/015</t>
  </si>
  <si>
    <t>AYIM FAITH</t>
  </si>
  <si>
    <t>FCTCONS/ND23/016</t>
  </si>
  <si>
    <t>UGWU PATIENCE CHINYENYE</t>
  </si>
  <si>
    <t>FCTCONS/ND23/017</t>
  </si>
  <si>
    <t>SALIU OLUWASEGUN ABDULHAKEEM</t>
  </si>
  <si>
    <t>FCTCONS/ND23/018</t>
  </si>
  <si>
    <t>UMAR HASIYA</t>
  </si>
  <si>
    <t>FCTCONS/ND23/019</t>
  </si>
  <si>
    <t>EGOH DORCAS ISHIYA</t>
  </si>
  <si>
    <t>FCTCONS/ND23/020</t>
  </si>
  <si>
    <t>IBRAHIM SA'ADATU</t>
  </si>
  <si>
    <t>FCTCONS/ND23/021</t>
  </si>
  <si>
    <t>IBRAHIM MARYAM YESMIN</t>
  </si>
  <si>
    <t>FCTCONS/ND23/022</t>
  </si>
  <si>
    <t>NKEMAKOLAM PRINCESS SOMTOCHUKWU</t>
  </si>
  <si>
    <t>FCTCONS/ND23/023</t>
  </si>
  <si>
    <t>BELLO FARIDATU IBRAHIM</t>
  </si>
  <si>
    <t>FCTCONS/ND23/024</t>
  </si>
  <si>
    <t>LUKA-ADUWAK ELLEN ZIGWAI</t>
  </si>
  <si>
    <t>FCTCONS/ND23/025</t>
  </si>
  <si>
    <t>JACOB JEREMIAH FUNOM</t>
  </si>
  <si>
    <t>FCTCONS/ND23/026</t>
  </si>
  <si>
    <t>PAUL BONNKE</t>
  </si>
  <si>
    <t>FCTCONS/ND23/027</t>
  </si>
  <si>
    <t>JEREMIAH GRACE MGBEDE</t>
  </si>
  <si>
    <t>FCTCONS/ND23/028</t>
  </si>
  <si>
    <t>GOWON HAPPINESS</t>
  </si>
  <si>
    <t>FCTCONS/ND23/029</t>
  </si>
  <si>
    <t>TAIWO FAVOUR TITOBILOLUWA</t>
  </si>
  <si>
    <t>FCTCONS/ND23/030</t>
  </si>
  <si>
    <t>NWACHUKWU BLESSING IFEOMA</t>
  </si>
  <si>
    <t>FCTCONS/ND23/031</t>
  </si>
  <si>
    <t>EMMANUEL DESTINY ONIZE</t>
  </si>
  <si>
    <t>FCTCONS/ND23/032</t>
  </si>
  <si>
    <t>DANJUMA PEACE FANUS</t>
  </si>
  <si>
    <t>FCTCONS/ND23/033</t>
  </si>
  <si>
    <t>OGBONNA BRIDE CHINAZA</t>
  </si>
  <si>
    <t>FCTCONS/ND23/034</t>
  </si>
  <si>
    <t>OMODARA FAVOUR OLUWABUKOLA</t>
  </si>
  <si>
    <t>FCTCONS/ND23/035</t>
  </si>
  <si>
    <t>BENEDICT PRISCILLA UJUNWA</t>
  </si>
  <si>
    <t>FCTCONS/ND23/036</t>
  </si>
  <si>
    <t>ABULUDE JOY OLUWABUKOLA</t>
  </si>
  <si>
    <t>FCTCONS/ND23/037</t>
  </si>
  <si>
    <t>ONWUKWE WENDY EBERECHI</t>
  </si>
  <si>
    <t>FCTCONS/ND23/038</t>
  </si>
  <si>
    <t>OBIORAH PRECIOUS IFUNANYA</t>
  </si>
  <si>
    <t>FCTCONS/ND23/039</t>
  </si>
  <si>
    <t>JULIUS JIREH DUNG</t>
  </si>
  <si>
    <t>FCTCONS/ND23/040</t>
  </si>
  <si>
    <t>ANUFORO DEBORAH OLUCHI</t>
  </si>
  <si>
    <t>FCTCONS/ND23/041</t>
  </si>
  <si>
    <t>TYOKYAA VERONICA</t>
  </si>
  <si>
    <t>FCTCONS/ND23/042</t>
  </si>
  <si>
    <t>MUHAMMAD ABDULLAHI SAGIR</t>
  </si>
  <si>
    <t>FCTCONS/ND23/043</t>
  </si>
  <si>
    <t>AYANDIRAN NANAFIRDAUS TITILOPE</t>
  </si>
  <si>
    <t>FCTCONS/ND23/044</t>
  </si>
  <si>
    <t>SANI MARY GOBIR</t>
  </si>
  <si>
    <t>FCTCONS/ND23/045</t>
  </si>
  <si>
    <t>MAXWELL NGOZI HEPHZI</t>
  </si>
  <si>
    <t>FCTCONS/ND23/046</t>
  </si>
  <si>
    <t>BARNABAS GIMBIYA SUCESS</t>
  </si>
  <si>
    <t>FCTCONS/ND23/047</t>
  </si>
  <si>
    <t>TUKUR AISHATU MUSA</t>
  </si>
  <si>
    <t>FCTCONS/ND23/048</t>
  </si>
  <si>
    <t>NNOBA PAMELA UDOCHUKWU</t>
  </si>
  <si>
    <t>FCTCONS/ND23/049</t>
  </si>
  <si>
    <t>AMOS JENNIFER ONYINYECHI</t>
  </si>
  <si>
    <t>FCTCONS/ND23/050</t>
  </si>
  <si>
    <t>NWODU CHIAMAKA MARY</t>
  </si>
  <si>
    <t>FCTCONS/ND23/051</t>
  </si>
  <si>
    <t>JOHN GODRICA ZHINYADA</t>
  </si>
  <si>
    <t>FCTCONS/ND23/052</t>
  </si>
  <si>
    <t>FIBERESIMA ORAFIRI PETER</t>
  </si>
  <si>
    <t>FCTCONS/ND23/053</t>
  </si>
  <si>
    <t>NUHU CONFIDENCE</t>
  </si>
  <si>
    <t>FCTCONS/ND23/054</t>
  </si>
  <si>
    <t>ALIYU MUHAMMAD SUMAYYAH</t>
  </si>
  <si>
    <t>FCTCONS/ND23/055</t>
  </si>
  <si>
    <t>SULEMAN ZAINAB ATIYAYE</t>
  </si>
  <si>
    <t>FCTCONS/ND23/056</t>
  </si>
  <si>
    <t>GYANG NORO HADASSAH</t>
  </si>
  <si>
    <t>FCTCONS/ND23/057</t>
  </si>
  <si>
    <t>MAHMUD AISHA</t>
  </si>
  <si>
    <t>FCTCONS/ND23/059</t>
  </si>
  <si>
    <t>ADAMU ZUBAIDA SALIHU</t>
  </si>
  <si>
    <t>FCTCONS/ND23/060</t>
  </si>
  <si>
    <t>PIE-NOAH COVENANT SUKA</t>
  </si>
  <si>
    <t>FCTCONS/ND23/061</t>
  </si>
  <si>
    <t>SANI FATIMA TIWATOPE</t>
  </si>
  <si>
    <t>FCTCONS/ND23/062</t>
  </si>
  <si>
    <t>SAMUEL DIVINE</t>
  </si>
  <si>
    <t>FCTCONS/ND23/063</t>
  </si>
  <si>
    <t>MAIVA PHEBE THOMAS</t>
  </si>
  <si>
    <t>FCTCONS/ND23/064</t>
  </si>
  <si>
    <t>ISAAC OBEDIENCE SHEKWO'AGU</t>
  </si>
  <si>
    <t>FCTCONS/ND23/065</t>
  </si>
  <si>
    <t>TANKO MERCY SHEKWOYEMILO</t>
  </si>
  <si>
    <t>FCTCONS/ND23/066</t>
  </si>
  <si>
    <t>EDOM JENNIFER CHIAMAKA</t>
  </si>
  <si>
    <t>FCTCONS/ND23/067</t>
  </si>
  <si>
    <t>ILIYA VICTORIA NAFISA</t>
  </si>
  <si>
    <t>FCTCONS/ND23/068</t>
  </si>
  <si>
    <t>KENNETH GIFT</t>
  </si>
  <si>
    <t>FCTCONS/ND23/069</t>
  </si>
  <si>
    <t>UGBENIN EFFUA ALLWELL</t>
  </si>
  <si>
    <t>FCTCONS/ND23/070</t>
  </si>
  <si>
    <t>OLAYOSOYE MERCY OMOWUNMI</t>
  </si>
  <si>
    <t>FCTCONS/ND23/071</t>
  </si>
  <si>
    <t>IKADE LOVINA EKWOK</t>
  </si>
  <si>
    <t>FCTCONS/ND23/072</t>
  </si>
  <si>
    <t>IRABOR AIZEHINOMOH DEBORAH</t>
  </si>
  <si>
    <t>FCTCONS/ND23/073</t>
  </si>
  <si>
    <t>ADEBONA ADEJOKE COMFORT</t>
  </si>
  <si>
    <t>FCTCONS/ND23/074</t>
  </si>
  <si>
    <t>ISAH HAFSAT ONAYI</t>
  </si>
  <si>
    <t>FCTCONS/ND23/075</t>
  </si>
  <si>
    <t>CHUKWUNEE FAVOUR CHIDINMA</t>
  </si>
  <si>
    <t>FCTCONS/ND23/076</t>
  </si>
  <si>
    <t>PAULO PEACENT</t>
  </si>
  <si>
    <t>FCTCONS/ND23/077</t>
  </si>
  <si>
    <t>IBRAHIM AWA MUTAH</t>
  </si>
  <si>
    <t>FCTCONS/ND23/078</t>
  </si>
  <si>
    <t>INALEGWU ADAMA DAVID</t>
  </si>
  <si>
    <t>FCTCONS/ND23/079</t>
  </si>
  <si>
    <t>AYUBA MARY</t>
  </si>
  <si>
    <t>FCTCONS/ND23/080</t>
  </si>
  <si>
    <t>BITRUS ISAIAH SUNDAY</t>
  </si>
  <si>
    <t>FCTCONS/ND23/081</t>
  </si>
  <si>
    <t>SAFIYANU HAFSAT USMAN</t>
  </si>
  <si>
    <t>FCTCONS/ND23/082</t>
  </si>
  <si>
    <t>ABUBAKAR MARDIYA ZUBAIRU</t>
  </si>
  <si>
    <t>FCTCONS/ND23/083</t>
  </si>
  <si>
    <t>ADAMS SURAYYAT DAHIRU</t>
  </si>
  <si>
    <t>FCTCONS/ND23/084</t>
  </si>
  <si>
    <t>SADA AMINAT</t>
  </si>
  <si>
    <t>FCTCONS/ND23/085</t>
  </si>
  <si>
    <t>FADUM MERIT</t>
  </si>
  <si>
    <t>FCTCONS/ND23/086</t>
  </si>
  <si>
    <t>ADEBANJO DIVINE JESUTOFUNMI</t>
  </si>
  <si>
    <t>FCTCONS/ND23/087</t>
  </si>
  <si>
    <t>RICKSON REJOICE USOKO</t>
  </si>
  <si>
    <t>FCTCONS/ND23/088</t>
  </si>
  <si>
    <t>NOKOH KELLY IGHOWHO</t>
  </si>
  <si>
    <t>FCTCONS/ND23/089</t>
  </si>
  <si>
    <t>WALKER CASSANDRA OGHENEBRORHIE</t>
  </si>
  <si>
    <t>FCTCONS/ND23/090</t>
  </si>
  <si>
    <t>MOSES STELLA AJUMA</t>
  </si>
  <si>
    <t>FCTCONS/ND23/091</t>
  </si>
  <si>
    <t>NNODIM JUDE NDUBUISI</t>
  </si>
  <si>
    <t>FCTCONS/ND23/092</t>
  </si>
  <si>
    <t>STEPHEN AYUBA MUSA</t>
  </si>
  <si>
    <t>FCTCONS/ND23/093</t>
  </si>
  <si>
    <t>FRANCIS BEWISE</t>
  </si>
  <si>
    <t>FCTCONS/ND23/094</t>
  </si>
  <si>
    <t>BARDE YEMI SULE</t>
  </si>
  <si>
    <t>FCTCONS/ND23/095</t>
  </si>
  <si>
    <t>OGUNLEYE AYOMIDE TOLULOPE</t>
  </si>
  <si>
    <t>FCTCONS/ND23/096</t>
  </si>
  <si>
    <t>BENJAMIN AMARACHUKWU MARVELOUS</t>
  </si>
  <si>
    <t>FCTCONS/ND23/097</t>
  </si>
  <si>
    <t>SOFIDIYA MARY OLAMIDE</t>
  </si>
  <si>
    <t>FCTCONS/ND23/098</t>
  </si>
  <si>
    <t>ADAMU HALIMA ISMAIL</t>
  </si>
  <si>
    <t>FCTCONS/ND23/099</t>
  </si>
  <si>
    <t>ISAH ABDULHAMID ABDULHAMID</t>
  </si>
  <si>
    <t>FCTCONS/ND23/100</t>
  </si>
  <si>
    <t>USEN ESTHER NSEYO</t>
  </si>
  <si>
    <t>FCTCONS/ND23/101</t>
  </si>
  <si>
    <t>FRANCIS BERNICE KULAN</t>
  </si>
  <si>
    <t>FCTCONS/ND23/102</t>
  </si>
  <si>
    <t>MUHAMMAD FATIMA SANTALI</t>
  </si>
  <si>
    <t>FCTCONS/ND23/103</t>
  </si>
  <si>
    <t>DAN-ASABE PEACE</t>
  </si>
  <si>
    <t>FCTCONS/ND23/104</t>
  </si>
  <si>
    <t>NWAKA WINNING ISIOMA</t>
  </si>
  <si>
    <t>FCTCONS/ND23/105</t>
  </si>
  <si>
    <t>ABUBAKAR SHULAMITE OJONIMI</t>
  </si>
  <si>
    <t>FCTCONS/ND23/106</t>
  </si>
  <si>
    <t>ADEBISI OLUWABUKUNMI MARY</t>
  </si>
  <si>
    <t>FCTCONS/ND23/107</t>
  </si>
  <si>
    <t>SALAUDEEN MARIAM ABIOLA</t>
  </si>
  <si>
    <t>FCTCONS/ND23/108</t>
  </si>
  <si>
    <t>ALHASSAN MARYAM ADAMU</t>
  </si>
  <si>
    <t>FCTCONS/ND23/109</t>
  </si>
  <si>
    <t>MUHAMMAD RAHAMAT ALKALI</t>
  </si>
  <si>
    <t>FCTCONS/ND23/110</t>
  </si>
  <si>
    <t>DENNIS EMMANUEL OLOCHE</t>
  </si>
  <si>
    <t>FCTCONS/ND23/111</t>
  </si>
  <si>
    <t>SATURDAY QUEEN GEORGE</t>
  </si>
  <si>
    <t>FCTCONS/ND23/112</t>
  </si>
  <si>
    <t>CHRISTOPHER EMMANUELLA NWOSAYI</t>
  </si>
  <si>
    <t>FCTCONS/ND23/113</t>
  </si>
  <si>
    <t>ADETOKUNBO TAIBAT</t>
  </si>
  <si>
    <t>FCTCONS/ND23/114</t>
  </si>
  <si>
    <t>YAKUBU PRISCILLA ASHEZIE</t>
  </si>
  <si>
    <t>FCTCONS/ND23/115</t>
  </si>
  <si>
    <t>OGETTE DEBORAH AFENOSOMI</t>
  </si>
  <si>
    <t>FCTCONS/ND23/116</t>
  </si>
  <si>
    <t>IKEH CHIAMAKA OBIANUJU</t>
  </si>
  <si>
    <t>FCTCONS/ND23/117</t>
  </si>
  <si>
    <t>SYLVESTER FLOURISH</t>
  </si>
  <si>
    <t>FCTCONS/ND23/118</t>
  </si>
  <si>
    <t>OGBONNAYA MERCY ONYENATURUCHI</t>
  </si>
  <si>
    <t>FCTCONS/ND23/119</t>
  </si>
  <si>
    <t>OKPECHI FAITH CHIDIMMA</t>
  </si>
  <si>
    <t>FCTCONS/ND23/120</t>
  </si>
  <si>
    <t>DYAKO STELLA MESUUGH</t>
  </si>
  <si>
    <t>FCTCONS/ND23/121</t>
  </si>
  <si>
    <t>LONGBA ESTHER EPHRAIM</t>
  </si>
  <si>
    <t>FCTCONS/ND23/122</t>
  </si>
  <si>
    <t>PETER DANIEL</t>
  </si>
  <si>
    <t>FCTCONS/ND23/123</t>
  </si>
  <si>
    <t>KINGSLEY JOSHUA OSEMUDIAME</t>
  </si>
  <si>
    <t>FCTCONS/ND23/124</t>
  </si>
  <si>
    <t>UMAR FARUK ZAINAB</t>
  </si>
  <si>
    <t>FCTCONS/ND23/125</t>
  </si>
  <si>
    <t>SUNDAY JENNIFER IKECHUKWU</t>
  </si>
  <si>
    <t>FCTCONS/ND23/126</t>
  </si>
  <si>
    <t>DICKSON GIFT NKECHI</t>
  </si>
  <si>
    <t>FCTCONS/ND23/127</t>
  </si>
  <si>
    <t>PETER FAITH ADA</t>
  </si>
  <si>
    <t>FCTCONS/ND23/128</t>
  </si>
  <si>
    <t>ISTIFANUS SARAH SHANAWAZA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</si>
</sst>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2"/>
      <color theme="1"/>
      <name val="Centaur"/>
      <family val="1"/>
    </font>
    <font>
      <sz val="16"/>
      <color theme="1"/>
      <name val="Centaur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Fill="1"/>
    <xf numFmtId="0" fontId="0" fillId="0" borderId="0" xfId="0" applyFill="1" applyBorder="1"/>
    <xf numFmtId="0" fontId="2" fillId="0" borderId="0" xfId="0" applyFont="1" applyFill="1" applyBorder="1"/>
    <xf numFmtId="1" fontId="0" fillId="0" borderId="0" xfId="0" applyNumberFormat="1" applyFill="1" applyBorder="1"/>
    <xf numFmtId="0" fontId="1" fillId="0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ELL/Desktop/ND%20REMARKED_05585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ASS NOMINAL ROLL"/>
      <sheetName val="Sheet2"/>
      <sheetName val="Sheet1"/>
      <sheetName val="CLASS LIST"/>
      <sheetName val="First Year"/>
      <sheetName val="Second Year"/>
      <sheetName val="Third Year"/>
      <sheetName val="Students' Results Sheet"/>
      <sheetName val="MasterSheet"/>
      <sheetName val="Sheet5"/>
      <sheetName val="Sheet4"/>
      <sheetName val="Sheet3"/>
      <sheetName val="Mailer 1_1"/>
      <sheetName val="Statistics&amp;Charts"/>
      <sheetName val="CA RESULTS"/>
      <sheetName val="OBJ RESULTS"/>
      <sheetName val="ND REMARKED_05585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8"/>
  <sheetViews>
    <sheetView workbookViewId="0">
      <selection activeCell="C125" sqref="C125"/>
    </sheetView>
  </sheetViews>
  <sheetFormatPr defaultRowHeight="14.5" x14ac:dyDescent="0.35"/>
  <cols>
    <col min="1" max="1" width="5.36328125" style="3" bestFit="1" customWidth="1"/>
    <col min="2" max="2" width="28.90625" style="3" bestFit="1" customWidth="1"/>
    <col min="3" max="3" width="59.54296875" style="3" bestFit="1" customWidth="1"/>
    <col min="4" max="4" width="17.90625" style="3" bestFit="1" customWidth="1"/>
    <col min="5" max="5" width="22.453125" style="3" bestFit="1" customWidth="1"/>
    <col min="6" max="6" width="27.08984375" style="3" bestFit="1" customWidth="1"/>
    <col min="7" max="7" width="22.6328125" style="3" bestFit="1" customWidth="1"/>
    <col min="8" max="8" width="17.90625" style="3" bestFit="1" customWidth="1"/>
    <col min="9" max="9" width="36.36328125" style="3" bestFit="1" customWidth="1"/>
    <col min="10" max="10" width="14.90625" style="3" bestFit="1" customWidth="1"/>
    <col min="11" max="11" width="19.7265625" style="3" bestFit="1" customWidth="1"/>
    <col min="12" max="12" width="16.81640625" style="3" bestFit="1" customWidth="1"/>
    <col min="13" max="13" width="27.26953125" style="3" bestFit="1" customWidth="1"/>
    <col min="14" max="16384" width="8.7265625" style="3"/>
  </cols>
  <sheetData>
    <row r="1" spans="1:13" ht="1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13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ht="21" x14ac:dyDescent="0.35">
      <c r="A2" s="4">
        <v>1</v>
      </c>
      <c r="B2" s="4" t="s">
        <v>14</v>
      </c>
      <c r="C2" s="4" t="s">
        <v>15</v>
      </c>
      <c r="D2" s="5">
        <v>17.75</v>
      </c>
      <c r="E2" s="3">
        <v>17</v>
      </c>
      <c r="F2" s="3">
        <v>10.600000000000001</v>
      </c>
      <c r="G2" s="3">
        <v>11.200000000000001</v>
      </c>
      <c r="H2" s="3">
        <v>16.5</v>
      </c>
      <c r="I2" s="3">
        <v>16</v>
      </c>
      <c r="J2" s="3">
        <v>14</v>
      </c>
      <c r="K2" s="5">
        <v>17</v>
      </c>
      <c r="L2" s="5">
        <v>16</v>
      </c>
      <c r="M2" s="3">
        <v>12.6</v>
      </c>
    </row>
    <row r="3" spans="1:13" ht="21" x14ac:dyDescent="0.35">
      <c r="A3" s="4">
        <v>2</v>
      </c>
      <c r="B3" s="4" t="s">
        <v>16</v>
      </c>
      <c r="C3" s="4" t="s">
        <v>17</v>
      </c>
      <c r="D3" s="5">
        <v>11</v>
      </c>
      <c r="E3" s="3">
        <v>8</v>
      </c>
      <c r="F3" s="3">
        <v>4.6000000000000005</v>
      </c>
      <c r="G3" s="3">
        <v>5.8</v>
      </c>
      <c r="H3" s="3">
        <v>8</v>
      </c>
      <c r="I3" s="3">
        <v>13</v>
      </c>
      <c r="J3" s="3">
        <v>14</v>
      </c>
      <c r="K3" s="5">
        <v>12.125</v>
      </c>
      <c r="L3" s="5">
        <v>12.4</v>
      </c>
      <c r="M3" s="3">
        <v>12.4</v>
      </c>
    </row>
    <row r="4" spans="1:13" ht="21" x14ac:dyDescent="0.35">
      <c r="A4" s="4">
        <v>3</v>
      </c>
      <c r="B4" s="4" t="s">
        <v>18</v>
      </c>
      <c r="C4" s="4" t="s">
        <v>19</v>
      </c>
      <c r="D4" s="5">
        <v>15.125</v>
      </c>
      <c r="E4" s="3">
        <v>13</v>
      </c>
      <c r="F4" s="3">
        <v>8.6</v>
      </c>
      <c r="G4" s="3">
        <v>8.1999999999999993</v>
      </c>
      <c r="H4" s="3">
        <v>13.5</v>
      </c>
      <c r="I4" s="3">
        <v>10</v>
      </c>
      <c r="J4" s="3">
        <v>13</v>
      </c>
      <c r="K4" s="5">
        <v>14.75</v>
      </c>
      <c r="L4" s="5">
        <v>16</v>
      </c>
      <c r="M4" s="3">
        <v>13.200000000000001</v>
      </c>
    </row>
    <row r="5" spans="1:13" ht="21" x14ac:dyDescent="0.35">
      <c r="A5" s="4">
        <v>4</v>
      </c>
      <c r="B5" s="4" t="s">
        <v>20</v>
      </c>
      <c r="C5" s="4" t="s">
        <v>21</v>
      </c>
      <c r="D5" s="5">
        <v>14.375</v>
      </c>
      <c r="E5" s="3">
        <v>18</v>
      </c>
      <c r="F5" s="3">
        <v>10.700000000000001</v>
      </c>
      <c r="G5" s="3">
        <v>10.199999999999999</v>
      </c>
      <c r="H5" s="3">
        <v>10</v>
      </c>
      <c r="I5" s="3">
        <v>10</v>
      </c>
      <c r="J5" s="3">
        <v>17</v>
      </c>
      <c r="K5" s="5">
        <v>16.25</v>
      </c>
      <c r="L5" s="5">
        <v>16.8</v>
      </c>
      <c r="M5" s="3">
        <v>12.8</v>
      </c>
    </row>
    <row r="6" spans="1:13" ht="21" x14ac:dyDescent="0.35">
      <c r="A6" s="4">
        <v>5</v>
      </c>
      <c r="B6" s="4" t="s">
        <v>22</v>
      </c>
      <c r="C6" s="4" t="s">
        <v>23</v>
      </c>
      <c r="D6" s="5">
        <v>15.875</v>
      </c>
      <c r="E6" s="3">
        <v>17</v>
      </c>
      <c r="F6" s="3">
        <v>11</v>
      </c>
      <c r="G6" s="3">
        <v>10.3</v>
      </c>
      <c r="H6" s="3">
        <v>17</v>
      </c>
      <c r="I6" s="3">
        <v>15</v>
      </c>
      <c r="J6" s="3">
        <v>19</v>
      </c>
      <c r="K6" s="5">
        <v>14.375</v>
      </c>
      <c r="L6" s="5">
        <v>17.600000000000001</v>
      </c>
      <c r="M6" s="3">
        <v>13.600000000000001</v>
      </c>
    </row>
    <row r="7" spans="1:13" ht="21" x14ac:dyDescent="0.35">
      <c r="A7" s="4">
        <v>6</v>
      </c>
      <c r="B7" s="4" t="s">
        <v>24</v>
      </c>
      <c r="C7" s="4" t="s">
        <v>25</v>
      </c>
      <c r="D7" s="5">
        <v>17.375</v>
      </c>
      <c r="E7" s="3">
        <v>13</v>
      </c>
      <c r="F7" s="3">
        <v>10</v>
      </c>
      <c r="G7" s="3">
        <v>9</v>
      </c>
      <c r="H7" s="3">
        <v>12</v>
      </c>
      <c r="I7" s="3">
        <v>13</v>
      </c>
      <c r="J7" s="3">
        <v>18</v>
      </c>
      <c r="K7" s="5">
        <v>12.5</v>
      </c>
      <c r="L7" s="5">
        <v>15.6</v>
      </c>
      <c r="M7" s="3">
        <v>11.399999999999999</v>
      </c>
    </row>
    <row r="8" spans="1:13" ht="21" x14ac:dyDescent="0.35">
      <c r="A8" s="4">
        <v>7</v>
      </c>
      <c r="B8" s="4" t="s">
        <v>26</v>
      </c>
      <c r="C8" s="4" t="s">
        <v>27</v>
      </c>
      <c r="D8" s="5">
        <v>17</v>
      </c>
      <c r="E8" s="3">
        <v>18</v>
      </c>
      <c r="F8" s="3">
        <v>11.899999999999999</v>
      </c>
      <c r="G8" s="3">
        <v>12.2</v>
      </c>
      <c r="H8" s="3">
        <v>19</v>
      </c>
      <c r="I8" s="3">
        <v>17</v>
      </c>
      <c r="J8" s="3">
        <v>13</v>
      </c>
      <c r="K8" s="5">
        <v>16.625</v>
      </c>
      <c r="L8" s="5">
        <v>15.6</v>
      </c>
      <c r="M8" s="3">
        <v>14</v>
      </c>
    </row>
    <row r="9" spans="1:13" ht="21" x14ac:dyDescent="0.35">
      <c r="A9" s="4">
        <v>8</v>
      </c>
      <c r="B9" s="4" t="s">
        <v>28</v>
      </c>
      <c r="C9" s="4" t="s">
        <v>29</v>
      </c>
      <c r="D9" s="5">
        <v>15.875</v>
      </c>
      <c r="E9" s="3">
        <v>14</v>
      </c>
      <c r="F9" s="3">
        <v>8.9</v>
      </c>
      <c r="G9" s="3">
        <v>9.3999999999999986</v>
      </c>
      <c r="H9" s="3">
        <v>16</v>
      </c>
      <c r="I9" s="3">
        <v>14</v>
      </c>
      <c r="J9" s="3">
        <v>16</v>
      </c>
      <c r="K9" s="5">
        <v>16.25</v>
      </c>
      <c r="L9" s="5">
        <v>14.4</v>
      </c>
      <c r="M9" s="3">
        <v>12.4</v>
      </c>
    </row>
    <row r="10" spans="1:13" ht="21" x14ac:dyDescent="0.35">
      <c r="A10" s="4">
        <v>9</v>
      </c>
      <c r="B10" s="4" t="s">
        <v>30</v>
      </c>
      <c r="C10" s="4" t="s">
        <v>31</v>
      </c>
      <c r="D10" s="5">
        <v>13.625</v>
      </c>
      <c r="E10" s="3">
        <v>16</v>
      </c>
      <c r="F10" s="3">
        <v>2.9</v>
      </c>
      <c r="G10" s="3">
        <v>7.3</v>
      </c>
      <c r="H10" s="3">
        <v>15</v>
      </c>
      <c r="I10" s="3">
        <v>14</v>
      </c>
      <c r="J10" s="3">
        <v>16</v>
      </c>
      <c r="K10" s="5">
        <v>12.875</v>
      </c>
      <c r="L10" s="5">
        <v>17.600000000000001</v>
      </c>
      <c r="M10" s="3">
        <v>12.2</v>
      </c>
    </row>
    <row r="11" spans="1:13" ht="21" x14ac:dyDescent="0.35">
      <c r="A11" s="4">
        <v>10</v>
      </c>
      <c r="B11" s="4" t="s">
        <v>32</v>
      </c>
      <c r="C11" s="4" t="s">
        <v>33</v>
      </c>
      <c r="D11" s="5">
        <v>12.5</v>
      </c>
      <c r="E11" s="3">
        <v>14</v>
      </c>
      <c r="F11" s="3">
        <v>11.100000000000001</v>
      </c>
      <c r="G11" s="3">
        <v>6.2</v>
      </c>
      <c r="H11" s="3">
        <v>10</v>
      </c>
      <c r="I11" s="3">
        <v>15</v>
      </c>
      <c r="J11" s="3">
        <v>16</v>
      </c>
      <c r="K11" s="5">
        <v>12.875</v>
      </c>
      <c r="L11" s="5">
        <v>12.4</v>
      </c>
      <c r="M11" s="3">
        <v>12.2</v>
      </c>
    </row>
    <row r="12" spans="1:13" ht="21" x14ac:dyDescent="0.35">
      <c r="A12" s="4">
        <v>11</v>
      </c>
      <c r="B12" s="4" t="s">
        <v>34</v>
      </c>
      <c r="C12" s="4" t="s">
        <v>35</v>
      </c>
      <c r="D12" s="5">
        <v>12.5</v>
      </c>
      <c r="E12" s="3">
        <v>18</v>
      </c>
      <c r="F12" s="3">
        <v>12.7</v>
      </c>
      <c r="G12" s="3">
        <v>9.8000000000000007</v>
      </c>
      <c r="H12" s="3">
        <v>16</v>
      </c>
      <c r="I12" s="3">
        <v>14</v>
      </c>
      <c r="J12" s="3">
        <v>18</v>
      </c>
      <c r="K12" s="5">
        <v>15.875</v>
      </c>
      <c r="L12" s="5">
        <v>14.4</v>
      </c>
      <c r="M12" s="3">
        <v>12.2</v>
      </c>
    </row>
    <row r="13" spans="1:13" ht="21" x14ac:dyDescent="0.35">
      <c r="A13" s="4">
        <v>12</v>
      </c>
      <c r="B13" s="4" t="s">
        <v>36</v>
      </c>
      <c r="C13" s="4" t="s">
        <v>37</v>
      </c>
      <c r="D13" s="5">
        <v>11.375</v>
      </c>
      <c r="E13" s="3">
        <v>13</v>
      </c>
      <c r="F13" s="3">
        <v>1.4000000000000001</v>
      </c>
      <c r="G13" s="3">
        <v>4.4000000000000004</v>
      </c>
      <c r="H13" s="3">
        <v>7</v>
      </c>
      <c r="I13" s="3">
        <v>14</v>
      </c>
      <c r="J13" s="3">
        <v>18</v>
      </c>
      <c r="K13" s="5">
        <v>12.875</v>
      </c>
      <c r="L13" s="5">
        <v>10.4</v>
      </c>
      <c r="M13" s="3">
        <v>12.6</v>
      </c>
    </row>
    <row r="14" spans="1:13" ht="21" x14ac:dyDescent="0.35">
      <c r="A14" s="4">
        <v>13</v>
      </c>
      <c r="B14" s="4" t="s">
        <v>38</v>
      </c>
      <c r="C14" s="4" t="s">
        <v>39</v>
      </c>
      <c r="D14" s="5">
        <v>16.25</v>
      </c>
      <c r="E14" s="3">
        <v>17</v>
      </c>
      <c r="F14" s="3">
        <v>10</v>
      </c>
      <c r="G14" s="3">
        <v>8.4</v>
      </c>
      <c r="H14" s="3">
        <v>12</v>
      </c>
      <c r="I14" s="3">
        <v>10</v>
      </c>
      <c r="J14" s="3">
        <v>16</v>
      </c>
      <c r="K14" s="5">
        <v>12.5</v>
      </c>
      <c r="L14" s="5">
        <v>17.2</v>
      </c>
      <c r="M14" s="3">
        <v>12</v>
      </c>
    </row>
    <row r="15" spans="1:13" ht="21" x14ac:dyDescent="0.35">
      <c r="A15" s="4">
        <v>14</v>
      </c>
      <c r="B15" s="4" t="s">
        <v>40</v>
      </c>
      <c r="C15" s="4" t="s">
        <v>41</v>
      </c>
      <c r="D15" s="5">
        <v>15.5</v>
      </c>
      <c r="E15" s="3">
        <v>14</v>
      </c>
      <c r="F15" s="3">
        <v>8.1000000000000014</v>
      </c>
      <c r="G15" s="3">
        <v>7.8000000000000007</v>
      </c>
      <c r="H15" s="3">
        <v>12.5</v>
      </c>
      <c r="I15" s="3">
        <v>15</v>
      </c>
      <c r="J15" s="3">
        <v>16</v>
      </c>
      <c r="K15" s="5">
        <v>15.125</v>
      </c>
      <c r="L15" s="5">
        <v>12</v>
      </c>
      <c r="M15" s="3">
        <v>13</v>
      </c>
    </row>
    <row r="16" spans="1:13" ht="21" x14ac:dyDescent="0.35">
      <c r="A16" s="4">
        <v>15</v>
      </c>
      <c r="B16" s="4" t="s">
        <v>42</v>
      </c>
      <c r="C16" s="4" t="s">
        <v>43</v>
      </c>
      <c r="D16" s="5">
        <v>12.125</v>
      </c>
      <c r="E16" s="3">
        <v>16</v>
      </c>
      <c r="F16" s="3">
        <v>6.7</v>
      </c>
      <c r="G16" s="3">
        <v>8.4</v>
      </c>
      <c r="H16" s="3">
        <v>10</v>
      </c>
      <c r="I16" s="3">
        <v>10</v>
      </c>
      <c r="J16" s="3">
        <v>13</v>
      </c>
      <c r="K16" s="5">
        <v>14.375</v>
      </c>
      <c r="L16" s="5">
        <v>13.6</v>
      </c>
      <c r="M16" s="3">
        <v>11.200000000000001</v>
      </c>
    </row>
    <row r="17" spans="1:13" ht="21" x14ac:dyDescent="0.35">
      <c r="A17" s="4">
        <v>16</v>
      </c>
      <c r="B17" s="4" t="s">
        <v>44</v>
      </c>
      <c r="C17" s="4" t="s">
        <v>45</v>
      </c>
      <c r="D17" s="5">
        <v>12.125</v>
      </c>
      <c r="E17" s="3">
        <v>12</v>
      </c>
      <c r="F17" s="3">
        <v>10.1</v>
      </c>
      <c r="G17" s="3">
        <v>5.8</v>
      </c>
      <c r="H17" s="3">
        <v>9</v>
      </c>
      <c r="I17" s="3">
        <v>15</v>
      </c>
      <c r="J17" s="3">
        <v>19</v>
      </c>
      <c r="K17" s="5">
        <v>12.875</v>
      </c>
      <c r="L17" s="5">
        <v>11.6</v>
      </c>
      <c r="M17" s="3">
        <v>13.4</v>
      </c>
    </row>
    <row r="18" spans="1:13" ht="21" x14ac:dyDescent="0.35">
      <c r="A18" s="4">
        <v>17</v>
      </c>
      <c r="B18" s="4" t="s">
        <v>46</v>
      </c>
      <c r="C18" s="4" t="s">
        <v>47</v>
      </c>
      <c r="D18" s="5">
        <v>15.125</v>
      </c>
      <c r="E18" s="3">
        <v>18</v>
      </c>
      <c r="F18" s="3">
        <v>10.5</v>
      </c>
      <c r="G18" s="3">
        <v>8.8000000000000007</v>
      </c>
      <c r="H18" s="3">
        <v>12</v>
      </c>
      <c r="I18" s="3">
        <v>14</v>
      </c>
      <c r="J18" s="3">
        <v>18</v>
      </c>
      <c r="K18" s="5">
        <v>13.625</v>
      </c>
      <c r="L18" s="5">
        <v>16.399999999999999</v>
      </c>
      <c r="M18" s="3">
        <v>13.200000000000001</v>
      </c>
    </row>
    <row r="19" spans="1:13" ht="21" x14ac:dyDescent="0.35">
      <c r="A19" s="4">
        <v>18</v>
      </c>
      <c r="B19" s="4" t="s">
        <v>48</v>
      </c>
      <c r="C19" s="4" t="s">
        <v>49</v>
      </c>
      <c r="D19" s="5">
        <v>11</v>
      </c>
      <c r="E19" s="3">
        <v>8</v>
      </c>
      <c r="F19" s="3">
        <v>2.3000000000000003</v>
      </c>
      <c r="G19" s="3">
        <v>2.1</v>
      </c>
      <c r="H19" s="3">
        <v>9</v>
      </c>
      <c r="I19" s="3">
        <v>13</v>
      </c>
      <c r="J19" s="3">
        <v>19</v>
      </c>
      <c r="K19" s="5">
        <v>9.5</v>
      </c>
      <c r="L19" s="5">
        <v>12</v>
      </c>
      <c r="M19" s="3">
        <v>10.199999999999999</v>
      </c>
    </row>
    <row r="20" spans="1:13" ht="21" x14ac:dyDescent="0.35">
      <c r="A20" s="4">
        <v>19</v>
      </c>
      <c r="B20" s="4" t="s">
        <v>50</v>
      </c>
      <c r="C20" s="4" t="s">
        <v>51</v>
      </c>
      <c r="D20" s="5">
        <v>13.25</v>
      </c>
      <c r="E20" s="3">
        <v>16</v>
      </c>
      <c r="F20" s="3">
        <v>10.700000000000001</v>
      </c>
      <c r="G20" s="3">
        <v>9.2000000000000011</v>
      </c>
      <c r="H20" s="3">
        <v>14</v>
      </c>
      <c r="I20" s="3">
        <v>15</v>
      </c>
      <c r="J20" s="3">
        <v>13</v>
      </c>
      <c r="K20" s="5">
        <v>16.25</v>
      </c>
      <c r="L20" s="5">
        <v>11.6</v>
      </c>
      <c r="M20" s="3">
        <v>12.6</v>
      </c>
    </row>
    <row r="21" spans="1:13" ht="21" x14ac:dyDescent="0.35">
      <c r="A21" s="4">
        <v>20</v>
      </c>
      <c r="B21" s="4" t="s">
        <v>52</v>
      </c>
      <c r="C21" s="4" t="s">
        <v>53</v>
      </c>
      <c r="D21" s="5">
        <v>14</v>
      </c>
      <c r="E21" s="3">
        <v>16</v>
      </c>
      <c r="F21" s="3">
        <v>9.2000000000000011</v>
      </c>
      <c r="G21" s="3">
        <v>9.6999999999999993</v>
      </c>
      <c r="H21" s="3">
        <v>10.5</v>
      </c>
      <c r="I21" s="3">
        <v>14</v>
      </c>
      <c r="J21" s="3">
        <v>14</v>
      </c>
      <c r="K21" s="5">
        <v>12.5</v>
      </c>
      <c r="L21" s="5">
        <v>11.6</v>
      </c>
      <c r="M21" s="3">
        <v>13.200000000000001</v>
      </c>
    </row>
    <row r="22" spans="1:13" ht="21" x14ac:dyDescent="0.35">
      <c r="A22" s="4">
        <v>21</v>
      </c>
      <c r="B22" s="4" t="s">
        <v>54</v>
      </c>
      <c r="C22" s="4" t="s">
        <v>55</v>
      </c>
      <c r="D22" s="5">
        <v>13.625</v>
      </c>
      <c r="E22" s="3">
        <v>16</v>
      </c>
      <c r="F22" s="3">
        <v>5.8</v>
      </c>
      <c r="G22" s="3">
        <v>9.6</v>
      </c>
      <c r="H22" s="3">
        <v>10</v>
      </c>
      <c r="I22" s="3">
        <v>16</v>
      </c>
      <c r="J22" s="3">
        <v>14</v>
      </c>
      <c r="K22" s="5">
        <v>12.5</v>
      </c>
      <c r="L22" s="5">
        <v>12</v>
      </c>
      <c r="M22" s="3">
        <v>11.200000000000001</v>
      </c>
    </row>
    <row r="23" spans="1:13" ht="21" x14ac:dyDescent="0.35">
      <c r="A23" s="4">
        <v>22</v>
      </c>
      <c r="B23" s="4" t="s">
        <v>56</v>
      </c>
      <c r="C23" s="4" t="s">
        <v>57</v>
      </c>
      <c r="D23" s="5">
        <v>13.25</v>
      </c>
      <c r="E23" s="3">
        <v>14</v>
      </c>
      <c r="F23" s="3">
        <v>10.8</v>
      </c>
      <c r="G23" s="3">
        <v>7.1999999999999993</v>
      </c>
      <c r="H23" s="3">
        <v>11</v>
      </c>
      <c r="I23" s="3">
        <v>15</v>
      </c>
      <c r="J23" s="3">
        <v>17</v>
      </c>
      <c r="K23" s="5">
        <v>13.625</v>
      </c>
      <c r="L23" s="5">
        <v>16.8</v>
      </c>
      <c r="M23" s="3">
        <v>12.6</v>
      </c>
    </row>
    <row r="24" spans="1:13" ht="21" x14ac:dyDescent="0.35">
      <c r="A24" s="4">
        <v>23</v>
      </c>
      <c r="B24" s="4" t="s">
        <v>58</v>
      </c>
      <c r="C24" s="4" t="s">
        <v>59</v>
      </c>
      <c r="D24" s="5">
        <v>12.875</v>
      </c>
      <c r="E24" s="3">
        <v>15</v>
      </c>
      <c r="F24" s="3">
        <v>3.5</v>
      </c>
      <c r="G24" s="3">
        <v>4.8</v>
      </c>
      <c r="H24" s="3">
        <v>13.5</v>
      </c>
      <c r="I24" s="3">
        <v>13</v>
      </c>
      <c r="J24" s="3">
        <v>13</v>
      </c>
      <c r="K24" s="5">
        <v>11.75</v>
      </c>
      <c r="L24" s="5">
        <v>11.2</v>
      </c>
      <c r="M24" s="3">
        <v>11.399999999999999</v>
      </c>
    </row>
    <row r="25" spans="1:13" ht="21" x14ac:dyDescent="0.5">
      <c r="A25" s="4">
        <v>24</v>
      </c>
      <c r="B25" s="4" t="s">
        <v>60</v>
      </c>
      <c r="C25" s="4" t="s">
        <v>61</v>
      </c>
      <c r="D25" s="5">
        <v>15.125</v>
      </c>
      <c r="E25" s="3">
        <v>18</v>
      </c>
      <c r="F25" s="3">
        <v>10.9</v>
      </c>
      <c r="G25" s="3">
        <v>10.8</v>
      </c>
      <c r="H25" s="3">
        <v>10</v>
      </c>
      <c r="I25" s="3">
        <v>16</v>
      </c>
      <c r="J25" s="3">
        <v>19</v>
      </c>
      <c r="K25" s="5">
        <v>14</v>
      </c>
      <c r="L25" s="5">
        <v>14.8</v>
      </c>
      <c r="M25" s="3">
        <v>13.200000000000001</v>
      </c>
    </row>
    <row r="26" spans="1:13" ht="21" x14ac:dyDescent="0.5">
      <c r="A26" s="4">
        <v>25</v>
      </c>
      <c r="B26" s="4" t="s">
        <v>62</v>
      </c>
      <c r="C26" s="4" t="s">
        <v>63</v>
      </c>
      <c r="D26" s="5">
        <v>11.75</v>
      </c>
      <c r="E26" s="3">
        <v>17</v>
      </c>
      <c r="F26" s="3">
        <v>6.5</v>
      </c>
      <c r="G26" s="3">
        <v>7.5</v>
      </c>
      <c r="H26" s="3">
        <v>10</v>
      </c>
      <c r="I26" s="3">
        <v>10</v>
      </c>
      <c r="J26" s="3">
        <v>18</v>
      </c>
      <c r="K26" s="5">
        <v>12.125</v>
      </c>
      <c r="L26" s="5">
        <v>14</v>
      </c>
      <c r="M26" s="3">
        <v>9.6</v>
      </c>
    </row>
    <row r="27" spans="1:13" ht="21" x14ac:dyDescent="0.5">
      <c r="A27" s="4">
        <v>26</v>
      </c>
      <c r="B27" s="4" t="s">
        <v>64</v>
      </c>
      <c r="C27" s="4" t="s">
        <v>65</v>
      </c>
      <c r="D27" s="5">
        <v>13.25</v>
      </c>
      <c r="E27" s="3">
        <v>13</v>
      </c>
      <c r="F27" s="3">
        <v>3</v>
      </c>
      <c r="G27" s="3">
        <v>5.2</v>
      </c>
      <c r="H27" s="3">
        <v>10</v>
      </c>
      <c r="I27" s="3">
        <v>10</v>
      </c>
      <c r="J27" s="3">
        <v>16</v>
      </c>
      <c r="K27" s="5">
        <v>12.875</v>
      </c>
      <c r="L27" s="5">
        <v>12.8</v>
      </c>
      <c r="M27" s="3">
        <v>10</v>
      </c>
    </row>
    <row r="28" spans="1:13" ht="21" x14ac:dyDescent="0.5">
      <c r="A28" s="4">
        <v>27</v>
      </c>
      <c r="B28" s="4" t="s">
        <v>66</v>
      </c>
      <c r="C28" s="4" t="s">
        <v>67</v>
      </c>
      <c r="D28" s="5">
        <v>12.875</v>
      </c>
      <c r="E28" s="3">
        <v>16</v>
      </c>
      <c r="F28" s="3">
        <v>10.1</v>
      </c>
      <c r="G28" s="3">
        <v>8.6</v>
      </c>
      <c r="H28" s="3">
        <v>14.5</v>
      </c>
      <c r="I28" s="3">
        <v>10</v>
      </c>
      <c r="J28" s="3">
        <v>18</v>
      </c>
      <c r="K28" s="5">
        <v>14.375</v>
      </c>
      <c r="L28" s="5">
        <v>14</v>
      </c>
      <c r="M28" s="3">
        <v>11.6</v>
      </c>
    </row>
    <row r="29" spans="1:13" ht="21" x14ac:dyDescent="0.5">
      <c r="A29" s="4">
        <v>28</v>
      </c>
      <c r="B29" s="4" t="s">
        <v>68</v>
      </c>
      <c r="C29" s="4" t="s">
        <v>69</v>
      </c>
      <c r="D29" s="5">
        <v>15.875</v>
      </c>
      <c r="E29" s="3">
        <v>18</v>
      </c>
      <c r="F29" s="3">
        <v>8.8000000000000007</v>
      </c>
      <c r="G29" s="3">
        <v>8.1999999999999993</v>
      </c>
      <c r="H29" s="3">
        <v>10</v>
      </c>
      <c r="I29" s="3">
        <v>15</v>
      </c>
      <c r="J29" s="3">
        <v>14</v>
      </c>
      <c r="K29" s="5">
        <v>16.625</v>
      </c>
      <c r="L29" s="5">
        <v>14</v>
      </c>
      <c r="M29" s="3">
        <v>12.8</v>
      </c>
    </row>
    <row r="30" spans="1:13" ht="21" x14ac:dyDescent="0.5">
      <c r="A30" s="4">
        <v>29</v>
      </c>
      <c r="B30" s="4" t="s">
        <v>70</v>
      </c>
      <c r="C30" s="4" t="s">
        <v>71</v>
      </c>
      <c r="D30" s="5">
        <v>14</v>
      </c>
      <c r="E30" s="3">
        <v>18</v>
      </c>
      <c r="F30" s="3">
        <v>8.6999999999999993</v>
      </c>
      <c r="G30" s="3">
        <v>9.3999999999999986</v>
      </c>
      <c r="H30" s="3">
        <v>12</v>
      </c>
      <c r="I30" s="3">
        <v>17</v>
      </c>
      <c r="J30" s="3">
        <v>19</v>
      </c>
      <c r="K30" s="5">
        <v>15.875</v>
      </c>
      <c r="L30" s="5">
        <v>13.6</v>
      </c>
      <c r="M30" s="3">
        <v>13</v>
      </c>
    </row>
    <row r="31" spans="1:13" ht="21" x14ac:dyDescent="0.5">
      <c r="A31" s="4">
        <v>30</v>
      </c>
      <c r="B31" s="4" t="s">
        <v>72</v>
      </c>
      <c r="C31" s="4" t="s">
        <v>73</v>
      </c>
      <c r="D31" s="5">
        <v>18.125</v>
      </c>
      <c r="E31" s="3">
        <v>17</v>
      </c>
      <c r="F31" s="3">
        <v>10.3</v>
      </c>
      <c r="G31" s="3">
        <v>11.200000000000001</v>
      </c>
      <c r="H31" s="3">
        <v>10</v>
      </c>
      <c r="I31" s="3">
        <v>16</v>
      </c>
      <c r="J31" s="3">
        <v>17</v>
      </c>
      <c r="K31" s="5">
        <v>18.5</v>
      </c>
      <c r="L31" s="5">
        <v>17.2</v>
      </c>
      <c r="M31" s="3">
        <v>12.2</v>
      </c>
    </row>
    <row r="32" spans="1:13" ht="21" x14ac:dyDescent="0.5">
      <c r="A32" s="4">
        <v>31</v>
      </c>
      <c r="B32" s="4" t="s">
        <v>74</v>
      </c>
      <c r="C32" s="4" t="s">
        <v>75</v>
      </c>
      <c r="D32" s="5">
        <v>15.125</v>
      </c>
      <c r="E32" s="3">
        <v>17</v>
      </c>
      <c r="F32" s="3">
        <v>7.7</v>
      </c>
      <c r="G32" s="3">
        <v>7</v>
      </c>
      <c r="H32" s="3">
        <v>9</v>
      </c>
      <c r="I32" s="3">
        <v>10</v>
      </c>
      <c r="J32" s="3">
        <v>13</v>
      </c>
      <c r="K32" s="5">
        <v>15.875</v>
      </c>
      <c r="L32" s="5">
        <v>15.6</v>
      </c>
      <c r="M32" s="3">
        <v>11</v>
      </c>
    </row>
    <row r="33" spans="1:13" ht="21" x14ac:dyDescent="0.5">
      <c r="A33" s="4">
        <v>32</v>
      </c>
      <c r="B33" s="4" t="s">
        <v>76</v>
      </c>
      <c r="C33" s="4" t="s">
        <v>77</v>
      </c>
      <c r="D33" s="5">
        <v>13.25</v>
      </c>
      <c r="E33" s="3">
        <v>12</v>
      </c>
      <c r="F33" s="3">
        <v>3.5999999999999996</v>
      </c>
      <c r="G33" s="3">
        <v>7.8000000000000007</v>
      </c>
      <c r="H33" s="3">
        <v>10</v>
      </c>
      <c r="I33" s="3">
        <v>14</v>
      </c>
      <c r="J33" s="3">
        <v>13</v>
      </c>
      <c r="K33" s="5">
        <v>16.625</v>
      </c>
      <c r="L33" s="5">
        <v>9.6</v>
      </c>
      <c r="M33" s="3">
        <v>11.799999999999999</v>
      </c>
    </row>
    <row r="34" spans="1:13" ht="21" x14ac:dyDescent="0.5">
      <c r="A34" s="4">
        <v>33</v>
      </c>
      <c r="B34" s="4" t="s">
        <v>78</v>
      </c>
      <c r="C34" s="4" t="s">
        <v>79</v>
      </c>
      <c r="D34" s="5">
        <v>11.75</v>
      </c>
      <c r="E34" s="3">
        <v>19</v>
      </c>
      <c r="F34" s="3">
        <v>9.3999999999999986</v>
      </c>
      <c r="G34" s="3">
        <v>9</v>
      </c>
      <c r="H34" s="3">
        <v>13</v>
      </c>
      <c r="I34" s="3">
        <v>14</v>
      </c>
      <c r="J34" s="3">
        <v>17</v>
      </c>
      <c r="K34" s="5">
        <v>13.25</v>
      </c>
      <c r="L34" s="5">
        <v>14.8</v>
      </c>
      <c r="M34" s="3">
        <v>12</v>
      </c>
    </row>
    <row r="35" spans="1:13" ht="21" x14ac:dyDescent="0.5">
      <c r="A35" s="4">
        <v>34</v>
      </c>
      <c r="B35" s="4" t="s">
        <v>80</v>
      </c>
      <c r="C35" s="4" t="s">
        <v>81</v>
      </c>
      <c r="D35" s="5">
        <v>14.75</v>
      </c>
      <c r="E35" s="3">
        <v>16</v>
      </c>
      <c r="F35" s="3">
        <v>11.399999999999999</v>
      </c>
      <c r="G35" s="3">
        <v>8.6</v>
      </c>
      <c r="H35" s="3">
        <v>12</v>
      </c>
      <c r="I35" s="3">
        <v>10</v>
      </c>
      <c r="J35" s="3">
        <v>16</v>
      </c>
      <c r="K35" s="5">
        <v>15.875</v>
      </c>
      <c r="L35" s="5">
        <v>12.8</v>
      </c>
      <c r="M35" s="3">
        <v>11</v>
      </c>
    </row>
    <row r="36" spans="1:13" ht="21" x14ac:dyDescent="0.5">
      <c r="A36" s="4">
        <v>35</v>
      </c>
      <c r="B36" s="4" t="s">
        <v>82</v>
      </c>
      <c r="C36" s="4" t="s">
        <v>83</v>
      </c>
      <c r="D36" s="5">
        <v>18.125</v>
      </c>
      <c r="E36" s="3">
        <v>18</v>
      </c>
      <c r="F36" s="3">
        <v>11.899999999999999</v>
      </c>
      <c r="G36" s="3">
        <v>10.199999999999999</v>
      </c>
      <c r="H36" s="3">
        <v>12</v>
      </c>
      <c r="I36" s="3">
        <v>15</v>
      </c>
      <c r="J36" s="3">
        <v>13</v>
      </c>
      <c r="K36" s="5">
        <v>18.5</v>
      </c>
      <c r="L36" s="5">
        <v>16.8</v>
      </c>
      <c r="M36" s="3">
        <v>12.8</v>
      </c>
    </row>
    <row r="37" spans="1:13" ht="21" x14ac:dyDescent="0.5">
      <c r="A37" s="4">
        <v>36</v>
      </c>
      <c r="B37" s="4" t="s">
        <v>84</v>
      </c>
      <c r="C37" s="4" t="s">
        <v>85</v>
      </c>
      <c r="D37" s="5">
        <v>18.875</v>
      </c>
      <c r="E37" s="3">
        <v>19</v>
      </c>
      <c r="F37" s="3">
        <v>10.199999999999999</v>
      </c>
      <c r="G37" s="3">
        <v>11.200000000000001</v>
      </c>
      <c r="H37" s="3">
        <v>16</v>
      </c>
      <c r="I37" s="3">
        <v>16</v>
      </c>
      <c r="J37" s="3">
        <v>13</v>
      </c>
      <c r="K37" s="5">
        <v>17</v>
      </c>
      <c r="L37" s="5">
        <v>16.8</v>
      </c>
      <c r="M37" s="3">
        <v>12.8</v>
      </c>
    </row>
    <row r="38" spans="1:13" ht="21" x14ac:dyDescent="0.5">
      <c r="A38" s="4">
        <v>37</v>
      </c>
      <c r="B38" s="4" t="s">
        <v>86</v>
      </c>
      <c r="C38" s="4" t="s">
        <v>87</v>
      </c>
      <c r="D38" s="5">
        <v>15.875</v>
      </c>
      <c r="E38" s="3">
        <v>19</v>
      </c>
      <c r="F38" s="3">
        <v>12</v>
      </c>
      <c r="G38" s="3">
        <v>9.8000000000000007</v>
      </c>
      <c r="H38" s="3">
        <v>10</v>
      </c>
      <c r="I38" s="3">
        <v>14</v>
      </c>
      <c r="J38" s="3">
        <v>16</v>
      </c>
      <c r="K38" s="5">
        <v>15.5</v>
      </c>
      <c r="L38" s="5">
        <v>16.399999999999999</v>
      </c>
      <c r="M38" s="3">
        <v>12.6</v>
      </c>
    </row>
    <row r="39" spans="1:13" ht="21" x14ac:dyDescent="0.5">
      <c r="A39" s="4">
        <v>38</v>
      </c>
      <c r="B39" s="4" t="s">
        <v>88</v>
      </c>
      <c r="C39" s="4" t="s">
        <v>89</v>
      </c>
      <c r="D39" s="5">
        <v>14</v>
      </c>
      <c r="E39" s="3">
        <v>15</v>
      </c>
      <c r="F39" s="3">
        <v>7.5</v>
      </c>
      <c r="G39" s="3">
        <v>8.9</v>
      </c>
      <c r="H39" s="3">
        <v>10</v>
      </c>
      <c r="I39" s="3">
        <v>15</v>
      </c>
      <c r="J39" s="3">
        <v>17</v>
      </c>
      <c r="K39" s="5">
        <v>15.875</v>
      </c>
      <c r="L39" s="5">
        <v>17.2</v>
      </c>
      <c r="M39" s="3">
        <v>12.6</v>
      </c>
    </row>
    <row r="40" spans="1:13" ht="21" x14ac:dyDescent="0.5">
      <c r="A40" s="4">
        <v>39</v>
      </c>
      <c r="B40" s="4" t="s">
        <v>90</v>
      </c>
      <c r="C40" s="4" t="s">
        <v>91</v>
      </c>
      <c r="D40" s="5">
        <v>14.375</v>
      </c>
      <c r="E40" s="3">
        <v>19</v>
      </c>
      <c r="F40" s="3">
        <v>11.7</v>
      </c>
      <c r="G40" s="3">
        <v>9</v>
      </c>
      <c r="H40" s="3">
        <v>10</v>
      </c>
      <c r="I40" s="3">
        <v>15</v>
      </c>
      <c r="J40" s="3">
        <v>18</v>
      </c>
      <c r="K40" s="5">
        <v>15.875</v>
      </c>
      <c r="L40" s="5">
        <v>16.399999999999999</v>
      </c>
      <c r="M40" s="3">
        <v>11.799999999999999</v>
      </c>
    </row>
    <row r="41" spans="1:13" ht="21" x14ac:dyDescent="0.5">
      <c r="A41" s="4">
        <v>40</v>
      </c>
      <c r="B41" s="4" t="s">
        <v>92</v>
      </c>
      <c r="C41" s="4" t="s">
        <v>93</v>
      </c>
      <c r="D41" s="5">
        <v>14.375</v>
      </c>
      <c r="E41" s="3">
        <v>17</v>
      </c>
      <c r="F41" s="3">
        <v>9.2000000000000011</v>
      </c>
      <c r="G41" s="3">
        <v>11.399999999999999</v>
      </c>
      <c r="H41" s="3">
        <v>12.5</v>
      </c>
      <c r="I41" s="3">
        <v>15</v>
      </c>
      <c r="J41" s="3">
        <v>13</v>
      </c>
      <c r="K41" s="5">
        <v>12.875</v>
      </c>
      <c r="L41" s="5">
        <v>13.6</v>
      </c>
      <c r="M41" s="3">
        <v>12.8</v>
      </c>
    </row>
    <row r="42" spans="1:13" ht="21" x14ac:dyDescent="0.5">
      <c r="A42" s="4">
        <v>41</v>
      </c>
      <c r="B42" s="4" t="s">
        <v>94</v>
      </c>
      <c r="C42" s="4" t="s">
        <v>95</v>
      </c>
      <c r="D42" s="5">
        <v>17.75</v>
      </c>
      <c r="E42" s="3">
        <v>19</v>
      </c>
      <c r="F42" s="3">
        <v>11</v>
      </c>
      <c r="G42" s="3">
        <v>9</v>
      </c>
      <c r="H42" s="3">
        <v>17.5</v>
      </c>
      <c r="I42" s="3">
        <v>15</v>
      </c>
      <c r="J42" s="3">
        <v>19</v>
      </c>
      <c r="K42" s="5">
        <v>17</v>
      </c>
      <c r="L42" s="5">
        <v>15.6</v>
      </c>
      <c r="M42" s="3">
        <v>12.6</v>
      </c>
    </row>
    <row r="43" spans="1:13" ht="21" x14ac:dyDescent="0.5">
      <c r="A43" s="4">
        <v>42</v>
      </c>
      <c r="B43" s="4" t="s">
        <v>96</v>
      </c>
      <c r="C43" s="4" t="s">
        <v>97</v>
      </c>
      <c r="D43" s="5">
        <v>14.375</v>
      </c>
      <c r="E43" s="3">
        <v>14</v>
      </c>
      <c r="F43" s="3">
        <v>9.5</v>
      </c>
      <c r="G43" s="3">
        <v>10.199999999999999</v>
      </c>
      <c r="H43" s="3">
        <v>10</v>
      </c>
      <c r="I43" s="3">
        <v>15</v>
      </c>
      <c r="J43" s="3">
        <v>19</v>
      </c>
      <c r="K43" s="5">
        <v>15.5</v>
      </c>
      <c r="L43" s="5">
        <v>15.6</v>
      </c>
      <c r="M43" s="3">
        <v>11.6</v>
      </c>
    </row>
    <row r="44" spans="1:13" ht="21" x14ac:dyDescent="0.5">
      <c r="A44" s="4">
        <v>43</v>
      </c>
      <c r="B44" s="4" t="s">
        <v>98</v>
      </c>
      <c r="C44" s="4" t="s">
        <v>99</v>
      </c>
      <c r="D44" s="5">
        <v>13.625</v>
      </c>
      <c r="E44" s="3">
        <v>17</v>
      </c>
      <c r="F44" s="3">
        <v>10</v>
      </c>
      <c r="G44" s="3">
        <v>9.8000000000000007</v>
      </c>
      <c r="H44" s="3">
        <v>14</v>
      </c>
      <c r="I44" s="3">
        <v>13</v>
      </c>
      <c r="J44" s="3">
        <v>13</v>
      </c>
      <c r="K44" s="5">
        <v>16.25</v>
      </c>
      <c r="L44" s="5">
        <v>15.6</v>
      </c>
      <c r="M44" s="3">
        <v>12.8</v>
      </c>
    </row>
    <row r="45" spans="1:13" ht="21" x14ac:dyDescent="0.5">
      <c r="A45" s="4">
        <v>44</v>
      </c>
      <c r="B45" s="4" t="s">
        <v>100</v>
      </c>
      <c r="C45" s="4" t="s">
        <v>101</v>
      </c>
      <c r="D45" s="5">
        <v>17</v>
      </c>
      <c r="E45" s="3">
        <v>19</v>
      </c>
      <c r="F45" s="3">
        <v>10.4</v>
      </c>
      <c r="G45" s="3">
        <v>9.3000000000000007</v>
      </c>
      <c r="H45" s="3">
        <v>12</v>
      </c>
      <c r="I45" s="3">
        <v>15</v>
      </c>
      <c r="J45" s="3">
        <v>18</v>
      </c>
      <c r="K45" s="5">
        <v>16.25</v>
      </c>
      <c r="L45" s="5">
        <v>14</v>
      </c>
      <c r="M45" s="3">
        <v>12.4</v>
      </c>
    </row>
    <row r="46" spans="1:13" ht="21" x14ac:dyDescent="0.5">
      <c r="A46" s="4">
        <v>45</v>
      </c>
      <c r="B46" s="4" t="s">
        <v>102</v>
      </c>
      <c r="C46" s="4" t="s">
        <v>103</v>
      </c>
      <c r="D46" s="5">
        <v>8.375</v>
      </c>
      <c r="E46" s="3">
        <v>18</v>
      </c>
      <c r="F46" s="3">
        <v>3.7</v>
      </c>
      <c r="G46" s="3">
        <v>7.4</v>
      </c>
      <c r="H46" s="3">
        <v>9</v>
      </c>
      <c r="I46" s="3">
        <v>13</v>
      </c>
      <c r="J46" s="3">
        <v>19</v>
      </c>
      <c r="K46" s="5">
        <v>6.875</v>
      </c>
      <c r="L46" s="5">
        <v>10.8</v>
      </c>
      <c r="M46" s="3">
        <v>12.4</v>
      </c>
    </row>
    <row r="47" spans="1:13" ht="21" x14ac:dyDescent="0.5">
      <c r="A47" s="4">
        <v>46</v>
      </c>
      <c r="B47" s="4" t="s">
        <v>104</v>
      </c>
      <c r="C47" s="4" t="s">
        <v>105</v>
      </c>
      <c r="D47" s="5">
        <v>10.625</v>
      </c>
      <c r="E47" s="3">
        <v>12</v>
      </c>
      <c r="F47" s="3">
        <v>2.2000000000000002</v>
      </c>
      <c r="G47" s="3">
        <v>2</v>
      </c>
      <c r="H47" s="3">
        <v>10.5</v>
      </c>
      <c r="I47" s="3">
        <v>13</v>
      </c>
      <c r="J47" s="3">
        <v>13</v>
      </c>
      <c r="K47" s="5">
        <v>12.125</v>
      </c>
      <c r="L47" s="5">
        <v>14.8</v>
      </c>
      <c r="M47" s="3">
        <v>11</v>
      </c>
    </row>
    <row r="48" spans="1:13" ht="21" x14ac:dyDescent="0.5">
      <c r="A48" s="4">
        <v>47</v>
      </c>
      <c r="B48" s="4" t="s">
        <v>106</v>
      </c>
      <c r="C48" s="4" t="s">
        <v>107</v>
      </c>
      <c r="D48" s="5">
        <v>11.375</v>
      </c>
      <c r="E48" s="3">
        <v>15</v>
      </c>
      <c r="F48" s="3">
        <v>10.5</v>
      </c>
      <c r="G48" s="3">
        <v>6.8000000000000007</v>
      </c>
      <c r="H48" s="3">
        <v>12</v>
      </c>
      <c r="I48" s="3">
        <v>10</v>
      </c>
      <c r="J48" s="3">
        <v>19</v>
      </c>
      <c r="K48" s="5">
        <v>12.125</v>
      </c>
      <c r="L48" s="5">
        <v>11.6</v>
      </c>
      <c r="M48" s="3">
        <v>12.4</v>
      </c>
    </row>
    <row r="49" spans="1:13" ht="21" x14ac:dyDescent="0.5">
      <c r="A49" s="4">
        <v>48</v>
      </c>
      <c r="B49" s="4" t="s">
        <v>108</v>
      </c>
      <c r="C49" s="4" t="s">
        <v>109</v>
      </c>
      <c r="D49" s="5">
        <v>15.125</v>
      </c>
      <c r="E49" s="3">
        <v>17</v>
      </c>
      <c r="F49" s="3">
        <v>10.8</v>
      </c>
      <c r="G49" s="3">
        <v>9.5</v>
      </c>
      <c r="H49" s="3">
        <v>18</v>
      </c>
      <c r="I49" s="3">
        <v>13</v>
      </c>
      <c r="J49" s="3">
        <v>17</v>
      </c>
      <c r="K49" s="5">
        <v>15.5</v>
      </c>
      <c r="L49" s="5">
        <v>16.8</v>
      </c>
      <c r="M49" s="3">
        <v>12.6</v>
      </c>
    </row>
    <row r="50" spans="1:13" ht="21" x14ac:dyDescent="0.5">
      <c r="A50" s="4">
        <v>49</v>
      </c>
      <c r="B50" s="4" t="s">
        <v>110</v>
      </c>
      <c r="C50" s="4" t="s">
        <v>111</v>
      </c>
      <c r="D50" s="5">
        <v>9.875</v>
      </c>
      <c r="E50" s="3">
        <v>11</v>
      </c>
      <c r="F50" s="3">
        <v>3.7</v>
      </c>
      <c r="G50" s="3">
        <v>2.6</v>
      </c>
      <c r="H50" s="3">
        <v>5</v>
      </c>
      <c r="I50" s="3">
        <v>13</v>
      </c>
      <c r="J50" s="3">
        <v>13</v>
      </c>
      <c r="K50" s="5">
        <v>12.875</v>
      </c>
      <c r="L50" s="5">
        <v>12.8</v>
      </c>
      <c r="M50" s="3">
        <v>11</v>
      </c>
    </row>
    <row r="51" spans="1:13" ht="21" x14ac:dyDescent="0.5">
      <c r="A51" s="4">
        <v>50</v>
      </c>
      <c r="B51" s="4" t="s">
        <v>112</v>
      </c>
      <c r="C51" s="4" t="s">
        <v>113</v>
      </c>
      <c r="D51" s="5">
        <v>11</v>
      </c>
      <c r="E51" s="3">
        <v>16</v>
      </c>
      <c r="F51" s="3">
        <v>4.4000000000000004</v>
      </c>
      <c r="G51" s="3">
        <v>4.8</v>
      </c>
      <c r="H51" s="3">
        <v>10</v>
      </c>
      <c r="I51" s="3">
        <v>14</v>
      </c>
      <c r="J51" s="3">
        <v>17</v>
      </c>
      <c r="K51" s="5">
        <v>12.875</v>
      </c>
      <c r="L51" s="5">
        <v>11.2</v>
      </c>
      <c r="M51" s="3">
        <v>9.2000000000000011</v>
      </c>
    </row>
    <row r="52" spans="1:13" ht="21" x14ac:dyDescent="0.5">
      <c r="A52" s="4">
        <v>51</v>
      </c>
      <c r="B52" s="4" t="s">
        <v>114</v>
      </c>
      <c r="C52" s="4" t="s">
        <v>115</v>
      </c>
      <c r="D52" s="5">
        <v>14.75</v>
      </c>
      <c r="E52" s="3">
        <v>14</v>
      </c>
      <c r="F52" s="3">
        <v>9.1</v>
      </c>
      <c r="G52" s="3">
        <v>8.8000000000000007</v>
      </c>
      <c r="H52" s="3">
        <v>10</v>
      </c>
      <c r="I52" s="3">
        <v>15</v>
      </c>
      <c r="J52" s="3">
        <v>18</v>
      </c>
      <c r="K52" s="5">
        <v>13.625</v>
      </c>
      <c r="L52" s="5">
        <v>17.2</v>
      </c>
      <c r="M52" s="3">
        <v>12.8</v>
      </c>
    </row>
    <row r="53" spans="1:13" ht="21" x14ac:dyDescent="0.5">
      <c r="A53" s="4">
        <v>52</v>
      </c>
      <c r="B53" s="4" t="s">
        <v>116</v>
      </c>
      <c r="C53" s="4" t="s">
        <v>117</v>
      </c>
      <c r="D53" s="5">
        <v>16.625</v>
      </c>
      <c r="E53" s="3">
        <v>18</v>
      </c>
      <c r="F53" s="3">
        <v>10</v>
      </c>
      <c r="G53" s="3">
        <v>8.8000000000000007</v>
      </c>
      <c r="H53" s="3">
        <v>10</v>
      </c>
      <c r="I53" s="3">
        <v>10</v>
      </c>
      <c r="J53" s="3">
        <v>13</v>
      </c>
      <c r="K53" s="5">
        <v>14.75</v>
      </c>
      <c r="L53" s="5">
        <v>14.4</v>
      </c>
      <c r="M53" s="3">
        <v>12</v>
      </c>
    </row>
    <row r="54" spans="1:13" ht="21" x14ac:dyDescent="0.5">
      <c r="A54" s="4">
        <v>53</v>
      </c>
      <c r="B54" s="4" t="s">
        <v>118</v>
      </c>
      <c r="C54" s="4" t="s">
        <v>119</v>
      </c>
      <c r="D54" s="5">
        <v>14.375</v>
      </c>
      <c r="E54" s="3">
        <v>12</v>
      </c>
      <c r="F54" s="3">
        <v>11</v>
      </c>
      <c r="G54" s="3">
        <v>11.799999999999999</v>
      </c>
      <c r="H54" s="3">
        <v>10.5</v>
      </c>
      <c r="I54" s="3">
        <v>15</v>
      </c>
      <c r="J54" s="3">
        <v>17</v>
      </c>
      <c r="K54" s="5">
        <v>14.75</v>
      </c>
      <c r="L54" s="5">
        <v>17.2</v>
      </c>
      <c r="M54" s="3">
        <v>12.6</v>
      </c>
    </row>
    <row r="55" spans="1:13" ht="21" x14ac:dyDescent="0.5">
      <c r="A55" s="4">
        <v>54</v>
      </c>
      <c r="B55" s="4" t="s">
        <v>120</v>
      </c>
      <c r="C55" s="4" t="s">
        <v>121</v>
      </c>
      <c r="D55" s="5">
        <v>11</v>
      </c>
      <c r="E55" s="3">
        <v>13</v>
      </c>
      <c r="F55" s="3">
        <v>5.15</v>
      </c>
      <c r="G55" s="3">
        <v>4.6000000000000005</v>
      </c>
      <c r="H55" s="3">
        <v>6</v>
      </c>
      <c r="I55" s="3">
        <v>13</v>
      </c>
      <c r="J55" s="3">
        <v>13</v>
      </c>
      <c r="K55" s="5">
        <v>12.5</v>
      </c>
      <c r="L55" s="5">
        <v>11.2</v>
      </c>
      <c r="M55" s="3">
        <v>13</v>
      </c>
    </row>
    <row r="56" spans="1:13" ht="21" x14ac:dyDescent="0.5">
      <c r="A56" s="4">
        <v>55</v>
      </c>
      <c r="B56" s="4" t="s">
        <v>122</v>
      </c>
      <c r="C56" s="4" t="s">
        <v>123</v>
      </c>
      <c r="D56" s="5">
        <v>15.125</v>
      </c>
      <c r="E56" s="3">
        <v>17</v>
      </c>
      <c r="F56" s="3">
        <v>10.5</v>
      </c>
      <c r="G56" s="3">
        <v>10</v>
      </c>
      <c r="H56" s="3">
        <v>13</v>
      </c>
      <c r="I56" s="3">
        <v>13</v>
      </c>
      <c r="J56" s="3">
        <v>19</v>
      </c>
      <c r="K56" s="5">
        <v>15.125</v>
      </c>
      <c r="L56" s="5">
        <v>13.6</v>
      </c>
      <c r="M56" s="3">
        <v>12.2</v>
      </c>
    </row>
    <row r="57" spans="1:13" ht="21" x14ac:dyDescent="0.5">
      <c r="A57" s="4">
        <v>56</v>
      </c>
      <c r="B57" s="4" t="s">
        <v>124</v>
      </c>
      <c r="C57" s="4" t="s">
        <v>125</v>
      </c>
      <c r="D57" s="5">
        <v>16.25</v>
      </c>
      <c r="E57" s="3">
        <v>18</v>
      </c>
      <c r="F57" s="3">
        <v>12</v>
      </c>
      <c r="G57" s="3">
        <v>12</v>
      </c>
      <c r="H57" s="3">
        <v>15.5</v>
      </c>
      <c r="I57" s="3">
        <v>10</v>
      </c>
      <c r="J57" s="3">
        <v>14</v>
      </c>
      <c r="K57" s="5">
        <v>19.25</v>
      </c>
      <c r="L57" s="5">
        <v>14.8</v>
      </c>
      <c r="M57" s="3">
        <v>13.200000000000001</v>
      </c>
    </row>
    <row r="58" spans="1:13" ht="21" x14ac:dyDescent="0.5">
      <c r="A58" s="4">
        <v>57</v>
      </c>
      <c r="B58" s="4" t="s">
        <v>126</v>
      </c>
      <c r="C58" s="4" t="s">
        <v>127</v>
      </c>
      <c r="D58" s="5">
        <v>15.5</v>
      </c>
      <c r="E58" s="3">
        <v>18</v>
      </c>
      <c r="F58" s="3">
        <v>13</v>
      </c>
      <c r="G58" s="3">
        <v>10.5</v>
      </c>
      <c r="H58" s="3">
        <v>12.5</v>
      </c>
      <c r="I58" s="3">
        <v>17</v>
      </c>
      <c r="J58" s="3">
        <v>19</v>
      </c>
      <c r="K58" s="5">
        <v>14.375</v>
      </c>
      <c r="L58" s="5">
        <v>12</v>
      </c>
      <c r="M58" s="3">
        <v>13</v>
      </c>
    </row>
    <row r="59" spans="1:13" ht="21" x14ac:dyDescent="0.5">
      <c r="A59" s="4">
        <v>58</v>
      </c>
      <c r="B59" s="4" t="s">
        <v>128</v>
      </c>
      <c r="C59" s="4" t="s">
        <v>129</v>
      </c>
      <c r="D59" s="5">
        <v>10.625</v>
      </c>
      <c r="E59" s="3">
        <v>11</v>
      </c>
      <c r="F59" s="3">
        <v>2.4</v>
      </c>
      <c r="G59" s="3">
        <v>4.4000000000000004</v>
      </c>
      <c r="H59" s="3">
        <v>10</v>
      </c>
      <c r="I59" s="3">
        <v>10</v>
      </c>
      <c r="J59" s="3">
        <v>13</v>
      </c>
      <c r="K59" s="5">
        <v>12.875</v>
      </c>
      <c r="L59" s="5">
        <v>10</v>
      </c>
      <c r="M59" s="3">
        <v>11.200000000000001</v>
      </c>
    </row>
    <row r="60" spans="1:13" ht="21" x14ac:dyDescent="0.5">
      <c r="A60" s="4">
        <v>59</v>
      </c>
      <c r="B60" s="4" t="s">
        <v>130</v>
      </c>
      <c r="C60" s="4" t="s">
        <v>131</v>
      </c>
      <c r="D60" s="5">
        <v>14</v>
      </c>
      <c r="E60" s="3">
        <v>18</v>
      </c>
      <c r="F60" s="3">
        <v>5.2</v>
      </c>
      <c r="G60" s="3">
        <v>10.4</v>
      </c>
      <c r="H60" s="3">
        <v>10</v>
      </c>
      <c r="I60" s="3">
        <v>13</v>
      </c>
      <c r="J60" s="3">
        <v>18</v>
      </c>
      <c r="K60" s="5">
        <v>14</v>
      </c>
      <c r="L60" s="5">
        <v>12.8</v>
      </c>
      <c r="M60" s="3">
        <v>12.8</v>
      </c>
    </row>
    <row r="61" spans="1:13" ht="21" x14ac:dyDescent="0.5">
      <c r="A61" s="4">
        <v>60</v>
      </c>
      <c r="B61" s="4" t="s">
        <v>132</v>
      </c>
      <c r="C61" s="4" t="s">
        <v>133</v>
      </c>
      <c r="D61" s="5">
        <v>14.375</v>
      </c>
      <c r="E61" s="3">
        <v>19</v>
      </c>
      <c r="F61" s="3">
        <v>10.3</v>
      </c>
      <c r="G61" s="3">
        <v>10.199999999999999</v>
      </c>
      <c r="H61" s="3">
        <v>11.5</v>
      </c>
      <c r="I61" s="3">
        <v>10</v>
      </c>
      <c r="J61" s="3">
        <v>18</v>
      </c>
      <c r="K61" s="5">
        <v>15.125</v>
      </c>
      <c r="L61" s="5">
        <v>15.6</v>
      </c>
      <c r="M61" s="3">
        <v>12.8</v>
      </c>
    </row>
    <row r="62" spans="1:13" ht="21" x14ac:dyDescent="0.5">
      <c r="A62" s="4">
        <v>61</v>
      </c>
      <c r="B62" s="4" t="s">
        <v>134</v>
      </c>
      <c r="C62" s="4" t="s">
        <v>135</v>
      </c>
      <c r="D62" s="5">
        <v>15.125</v>
      </c>
      <c r="E62" s="3">
        <v>13</v>
      </c>
      <c r="F62" s="3">
        <v>8.4</v>
      </c>
      <c r="G62" s="3">
        <v>6.6000000000000005</v>
      </c>
      <c r="H62" s="3">
        <v>10.5</v>
      </c>
      <c r="I62" s="3">
        <v>17</v>
      </c>
      <c r="J62" s="3">
        <v>18</v>
      </c>
      <c r="K62" s="5">
        <v>12.125</v>
      </c>
      <c r="L62" s="5">
        <v>12.4</v>
      </c>
      <c r="M62" s="3">
        <v>10.600000000000001</v>
      </c>
    </row>
    <row r="63" spans="1:13" ht="21" x14ac:dyDescent="0.5">
      <c r="A63" s="4">
        <v>62</v>
      </c>
      <c r="B63" s="4" t="s">
        <v>136</v>
      </c>
      <c r="C63" s="4" t="s">
        <v>137</v>
      </c>
      <c r="D63" s="5">
        <v>14</v>
      </c>
      <c r="E63" s="3">
        <v>16</v>
      </c>
      <c r="F63" s="3">
        <v>9.3999999999999986</v>
      </c>
      <c r="G63" s="3">
        <v>8.6</v>
      </c>
      <c r="H63" s="3">
        <v>11.5</v>
      </c>
      <c r="I63" s="3">
        <v>17</v>
      </c>
      <c r="J63" s="3">
        <v>19</v>
      </c>
      <c r="K63" s="5">
        <v>15.875</v>
      </c>
      <c r="L63" s="5">
        <v>13.6</v>
      </c>
      <c r="M63" s="3">
        <v>12.6</v>
      </c>
    </row>
    <row r="64" spans="1:13" ht="21" x14ac:dyDescent="0.5">
      <c r="A64" s="4">
        <v>63</v>
      </c>
      <c r="B64" s="4" t="s">
        <v>138</v>
      </c>
      <c r="C64" s="4" t="s">
        <v>139</v>
      </c>
      <c r="D64" s="5">
        <v>14</v>
      </c>
      <c r="E64" s="3">
        <v>15</v>
      </c>
      <c r="F64" s="3">
        <v>9.8000000000000007</v>
      </c>
      <c r="G64" s="3">
        <v>9.3999999999999986</v>
      </c>
      <c r="H64" s="3">
        <v>10</v>
      </c>
      <c r="I64" s="3">
        <v>15</v>
      </c>
      <c r="J64" s="3">
        <v>18</v>
      </c>
      <c r="K64" s="5">
        <v>13.625</v>
      </c>
      <c r="L64" s="5">
        <v>12.8</v>
      </c>
      <c r="M64" s="3">
        <v>12.8</v>
      </c>
    </row>
    <row r="65" spans="1:13" ht="21" x14ac:dyDescent="0.5">
      <c r="A65" s="4">
        <v>64</v>
      </c>
      <c r="B65" s="4" t="s">
        <v>140</v>
      </c>
      <c r="C65" s="4" t="s">
        <v>141</v>
      </c>
      <c r="D65" s="5">
        <v>14.375</v>
      </c>
      <c r="E65" s="3">
        <v>11</v>
      </c>
      <c r="F65" s="3">
        <v>4.3</v>
      </c>
      <c r="G65" s="3">
        <v>7.4</v>
      </c>
      <c r="H65" s="3">
        <v>9</v>
      </c>
      <c r="I65" s="3">
        <v>10</v>
      </c>
      <c r="J65" s="3">
        <v>19</v>
      </c>
      <c r="K65" s="5">
        <v>14</v>
      </c>
      <c r="L65" s="5">
        <v>10.4</v>
      </c>
      <c r="M65" s="3">
        <v>11.799999999999999</v>
      </c>
    </row>
    <row r="66" spans="1:13" ht="21" x14ac:dyDescent="0.5">
      <c r="A66" s="4">
        <v>65</v>
      </c>
      <c r="B66" s="4" t="s">
        <v>142</v>
      </c>
      <c r="C66" s="4" t="s">
        <v>143</v>
      </c>
      <c r="D66" s="5">
        <v>17</v>
      </c>
      <c r="E66" s="3">
        <v>19</v>
      </c>
      <c r="F66" s="3">
        <v>11.5</v>
      </c>
      <c r="G66" s="3">
        <v>12.2</v>
      </c>
      <c r="H66" s="3">
        <v>19</v>
      </c>
      <c r="I66" s="3">
        <v>16</v>
      </c>
      <c r="J66" s="3">
        <v>13</v>
      </c>
      <c r="K66" s="5">
        <v>17.375</v>
      </c>
      <c r="L66" s="5">
        <v>14</v>
      </c>
      <c r="M66" s="3">
        <v>13.600000000000001</v>
      </c>
    </row>
    <row r="67" spans="1:13" ht="21" x14ac:dyDescent="0.5">
      <c r="A67" s="4">
        <v>66</v>
      </c>
      <c r="B67" s="4" t="s">
        <v>144</v>
      </c>
      <c r="C67" s="4" t="s">
        <v>145</v>
      </c>
      <c r="D67" s="5">
        <v>15.125</v>
      </c>
      <c r="E67" s="3">
        <v>15</v>
      </c>
      <c r="F67" s="3">
        <v>9.3999999999999986</v>
      </c>
      <c r="G67" s="3">
        <v>10.4</v>
      </c>
      <c r="H67" s="3">
        <v>9</v>
      </c>
      <c r="I67" s="3">
        <v>10</v>
      </c>
      <c r="J67" s="3">
        <v>14</v>
      </c>
      <c r="K67" s="5">
        <v>15.875</v>
      </c>
      <c r="L67" s="5">
        <v>12.8</v>
      </c>
      <c r="M67" s="3">
        <v>13.200000000000001</v>
      </c>
    </row>
    <row r="68" spans="1:13" ht="21" x14ac:dyDescent="0.5">
      <c r="A68" s="4">
        <v>67</v>
      </c>
      <c r="B68" s="4" t="s">
        <v>146</v>
      </c>
      <c r="C68" s="4" t="s">
        <v>147</v>
      </c>
      <c r="D68" s="5">
        <v>19.625</v>
      </c>
      <c r="E68" s="3">
        <v>16</v>
      </c>
      <c r="F68" s="3">
        <v>12.6</v>
      </c>
      <c r="G68" s="3">
        <v>11.6</v>
      </c>
      <c r="H68" s="3">
        <v>17.5</v>
      </c>
      <c r="I68" s="3">
        <v>14</v>
      </c>
      <c r="J68" s="3">
        <v>19</v>
      </c>
      <c r="K68" s="5">
        <v>18.875</v>
      </c>
      <c r="L68" s="5">
        <v>17.2</v>
      </c>
      <c r="M68" s="3">
        <v>13.4</v>
      </c>
    </row>
    <row r="69" spans="1:13" ht="21" x14ac:dyDescent="0.5">
      <c r="A69" s="4">
        <v>68</v>
      </c>
      <c r="B69" s="4" t="s">
        <v>148</v>
      </c>
      <c r="C69" s="4" t="s">
        <v>149</v>
      </c>
      <c r="D69" s="5">
        <v>17</v>
      </c>
      <c r="E69" s="3">
        <v>17</v>
      </c>
      <c r="F69" s="3">
        <v>10.8</v>
      </c>
      <c r="G69" s="3">
        <v>11.6</v>
      </c>
      <c r="H69" s="3">
        <v>15.5</v>
      </c>
      <c r="I69" s="3">
        <v>13</v>
      </c>
      <c r="J69" s="3">
        <v>19</v>
      </c>
      <c r="K69" s="5">
        <v>17</v>
      </c>
      <c r="L69" s="5">
        <v>14</v>
      </c>
      <c r="M69" s="3">
        <v>12.4</v>
      </c>
    </row>
    <row r="70" spans="1:13" ht="21" x14ac:dyDescent="0.5">
      <c r="A70" s="4">
        <v>69</v>
      </c>
      <c r="B70" s="4" t="s">
        <v>150</v>
      </c>
      <c r="C70" s="4" t="s">
        <v>151</v>
      </c>
      <c r="D70" s="5">
        <v>17.375</v>
      </c>
      <c r="E70" s="3">
        <v>19</v>
      </c>
      <c r="F70" s="3">
        <v>11.799999999999999</v>
      </c>
      <c r="G70" s="3">
        <v>11.200000000000001</v>
      </c>
      <c r="H70" s="3">
        <v>18.5</v>
      </c>
      <c r="I70" s="3">
        <v>15</v>
      </c>
      <c r="J70" s="3">
        <v>16</v>
      </c>
      <c r="K70" s="5">
        <v>19.25</v>
      </c>
      <c r="L70" s="5">
        <v>14.4</v>
      </c>
      <c r="M70" s="3">
        <v>12</v>
      </c>
    </row>
    <row r="71" spans="1:13" ht="21" x14ac:dyDescent="0.5">
      <c r="A71" s="4">
        <v>70</v>
      </c>
      <c r="B71" s="4" t="s">
        <v>152</v>
      </c>
      <c r="C71" s="4" t="s">
        <v>153</v>
      </c>
      <c r="D71" s="5">
        <v>12.875</v>
      </c>
      <c r="E71" s="3">
        <v>11</v>
      </c>
      <c r="F71" s="3">
        <v>10.600000000000001</v>
      </c>
      <c r="G71" s="3">
        <v>8.9</v>
      </c>
      <c r="H71" s="3">
        <v>9</v>
      </c>
      <c r="I71" s="3">
        <v>15</v>
      </c>
      <c r="J71" s="3">
        <v>14</v>
      </c>
      <c r="K71" s="5">
        <v>14</v>
      </c>
      <c r="L71" s="5">
        <v>14.4</v>
      </c>
      <c r="M71" s="3">
        <v>12.4</v>
      </c>
    </row>
    <row r="72" spans="1:13" ht="21" x14ac:dyDescent="0.5">
      <c r="A72" s="4">
        <v>71</v>
      </c>
      <c r="B72" s="4" t="s">
        <v>154</v>
      </c>
      <c r="C72" s="4" t="s">
        <v>155</v>
      </c>
      <c r="D72" s="5">
        <v>14.375</v>
      </c>
      <c r="E72" s="3">
        <v>15</v>
      </c>
      <c r="F72" s="3">
        <v>11.399999999999999</v>
      </c>
      <c r="G72" s="3">
        <v>8.9</v>
      </c>
      <c r="H72" s="3">
        <v>15</v>
      </c>
      <c r="I72" s="3">
        <v>15</v>
      </c>
      <c r="J72" s="3">
        <v>18</v>
      </c>
      <c r="K72" s="5">
        <v>15.5</v>
      </c>
      <c r="L72" s="5">
        <v>15.6</v>
      </c>
      <c r="M72" s="3">
        <v>12.2</v>
      </c>
    </row>
    <row r="73" spans="1:13" ht="21" x14ac:dyDescent="0.5">
      <c r="A73" s="4">
        <v>72</v>
      </c>
      <c r="B73" s="4" t="s">
        <v>156</v>
      </c>
      <c r="C73" s="4" t="s">
        <v>157</v>
      </c>
      <c r="D73" s="5">
        <v>15.875</v>
      </c>
      <c r="E73" s="3">
        <v>18</v>
      </c>
      <c r="F73" s="3">
        <v>8</v>
      </c>
      <c r="G73" s="3">
        <v>6.1</v>
      </c>
      <c r="H73" s="3">
        <v>12</v>
      </c>
      <c r="I73" s="3">
        <v>15</v>
      </c>
      <c r="J73" s="3">
        <v>13</v>
      </c>
      <c r="K73" s="5">
        <v>14</v>
      </c>
      <c r="L73" s="5">
        <v>15.6</v>
      </c>
      <c r="M73" s="3">
        <v>12.2</v>
      </c>
    </row>
    <row r="74" spans="1:13" ht="21" x14ac:dyDescent="0.5">
      <c r="A74" s="4">
        <v>73</v>
      </c>
      <c r="B74" s="4" t="s">
        <v>158</v>
      </c>
      <c r="C74" s="4" t="s">
        <v>159</v>
      </c>
      <c r="D74" s="5">
        <v>12.875</v>
      </c>
      <c r="E74" s="3">
        <v>12</v>
      </c>
      <c r="F74" s="3">
        <v>9.3999999999999986</v>
      </c>
      <c r="G74" s="3">
        <v>6.3</v>
      </c>
      <c r="H74" s="3">
        <v>6</v>
      </c>
      <c r="I74" s="3">
        <v>15</v>
      </c>
      <c r="J74" s="3">
        <v>18</v>
      </c>
      <c r="K74" s="5">
        <v>12.125</v>
      </c>
      <c r="L74" s="5">
        <v>11.2</v>
      </c>
      <c r="M74" s="3">
        <v>11.6</v>
      </c>
    </row>
    <row r="75" spans="1:13" ht="21" x14ac:dyDescent="0.5">
      <c r="A75" s="4">
        <v>74</v>
      </c>
      <c r="B75" s="4" t="s">
        <v>160</v>
      </c>
      <c r="C75" s="4" t="s">
        <v>161</v>
      </c>
      <c r="D75" s="5">
        <v>17.375</v>
      </c>
      <c r="E75" s="3">
        <v>18</v>
      </c>
      <c r="F75" s="3">
        <v>10</v>
      </c>
      <c r="G75" s="3">
        <v>8.1999999999999993</v>
      </c>
      <c r="H75" s="3">
        <v>10</v>
      </c>
      <c r="I75" s="3">
        <v>13</v>
      </c>
      <c r="J75" s="3">
        <v>13</v>
      </c>
      <c r="K75" s="5">
        <v>17.375</v>
      </c>
      <c r="L75" s="5">
        <v>16.399999999999999</v>
      </c>
      <c r="M75" s="3">
        <v>12.6</v>
      </c>
    </row>
    <row r="76" spans="1:13" ht="21" x14ac:dyDescent="0.5">
      <c r="A76" s="4">
        <v>75</v>
      </c>
      <c r="B76" s="4" t="s">
        <v>162</v>
      </c>
      <c r="C76" s="4" t="s">
        <v>163</v>
      </c>
      <c r="D76" s="5">
        <v>13.625</v>
      </c>
      <c r="E76" s="3">
        <v>17</v>
      </c>
      <c r="F76" s="3">
        <v>9.1</v>
      </c>
      <c r="G76" s="3">
        <v>9.1</v>
      </c>
      <c r="H76" s="3">
        <v>10</v>
      </c>
      <c r="I76" s="3">
        <v>15</v>
      </c>
      <c r="J76" s="3">
        <v>16</v>
      </c>
      <c r="K76" s="5">
        <v>15.875</v>
      </c>
      <c r="L76" s="5">
        <v>12.8</v>
      </c>
      <c r="M76" s="3">
        <v>12.4</v>
      </c>
    </row>
    <row r="77" spans="1:13" ht="21" x14ac:dyDescent="0.5">
      <c r="A77" s="4">
        <v>76</v>
      </c>
      <c r="B77" s="4" t="s">
        <v>164</v>
      </c>
      <c r="C77" s="4" t="s">
        <v>165</v>
      </c>
      <c r="D77" s="5">
        <v>15.125</v>
      </c>
      <c r="E77" s="3">
        <v>14</v>
      </c>
      <c r="F77" s="3">
        <v>11.200000000000001</v>
      </c>
      <c r="G77" s="3">
        <v>9.2000000000000011</v>
      </c>
      <c r="H77" s="3">
        <v>11</v>
      </c>
      <c r="I77" s="3">
        <v>15</v>
      </c>
      <c r="J77" s="3">
        <v>14</v>
      </c>
      <c r="K77" s="5">
        <v>14.75</v>
      </c>
      <c r="L77" s="5">
        <v>14.4</v>
      </c>
      <c r="M77" s="3">
        <v>12.4</v>
      </c>
    </row>
    <row r="78" spans="1:13" ht="21" x14ac:dyDescent="0.5">
      <c r="A78" s="4">
        <v>77</v>
      </c>
      <c r="B78" s="4" t="s">
        <v>166</v>
      </c>
      <c r="C78" s="4" t="s">
        <v>167</v>
      </c>
      <c r="D78" s="5">
        <v>15.5</v>
      </c>
      <c r="E78" s="3">
        <v>17</v>
      </c>
      <c r="F78" s="3">
        <v>11.5</v>
      </c>
      <c r="G78" s="3">
        <v>8.4</v>
      </c>
      <c r="H78" s="3">
        <v>14</v>
      </c>
      <c r="I78" s="3">
        <v>15</v>
      </c>
      <c r="J78" s="3">
        <v>14</v>
      </c>
      <c r="K78" s="5">
        <v>15.5</v>
      </c>
      <c r="L78" s="5">
        <v>17.2</v>
      </c>
      <c r="M78" s="3">
        <v>12.2</v>
      </c>
    </row>
    <row r="79" spans="1:13" ht="21" x14ac:dyDescent="0.5">
      <c r="A79" s="4">
        <v>78</v>
      </c>
      <c r="B79" s="4" t="s">
        <v>168</v>
      </c>
      <c r="C79" s="4" t="s">
        <v>169</v>
      </c>
      <c r="D79" s="5">
        <v>12.5</v>
      </c>
      <c r="E79" s="3">
        <v>16</v>
      </c>
      <c r="F79" s="3">
        <v>11.399999999999999</v>
      </c>
      <c r="G79" s="3">
        <v>4.5</v>
      </c>
      <c r="H79" s="3">
        <v>9</v>
      </c>
      <c r="I79" s="3">
        <v>13</v>
      </c>
      <c r="J79" s="3">
        <v>13</v>
      </c>
      <c r="K79" s="5">
        <v>12.5</v>
      </c>
      <c r="L79" s="5">
        <v>10</v>
      </c>
      <c r="M79" s="3">
        <v>12.2</v>
      </c>
    </row>
    <row r="80" spans="1:13" ht="21" x14ac:dyDescent="0.5">
      <c r="A80" s="4">
        <v>79</v>
      </c>
      <c r="B80" s="4" t="s">
        <v>170</v>
      </c>
      <c r="C80" s="4" t="s">
        <v>171</v>
      </c>
      <c r="D80" s="5">
        <v>17</v>
      </c>
      <c r="E80" s="3">
        <v>18</v>
      </c>
      <c r="F80" s="3">
        <v>9.6999999999999993</v>
      </c>
      <c r="G80" s="3">
        <v>9.2000000000000011</v>
      </c>
      <c r="H80" s="3">
        <v>12.5</v>
      </c>
      <c r="I80" s="3">
        <v>13</v>
      </c>
      <c r="J80" s="3">
        <v>13</v>
      </c>
      <c r="K80" s="5">
        <v>17.75</v>
      </c>
      <c r="L80" s="5">
        <v>14</v>
      </c>
      <c r="M80" s="3">
        <v>13.200000000000001</v>
      </c>
    </row>
    <row r="81" spans="1:13" ht="21" x14ac:dyDescent="0.5">
      <c r="A81" s="4">
        <v>80</v>
      </c>
      <c r="B81" s="4" t="s">
        <v>172</v>
      </c>
      <c r="C81" s="4" t="s">
        <v>173</v>
      </c>
      <c r="D81" s="5">
        <v>10.625</v>
      </c>
      <c r="E81" s="3">
        <v>15</v>
      </c>
      <c r="F81" s="3">
        <v>2</v>
      </c>
      <c r="G81" s="3">
        <v>1.6</v>
      </c>
      <c r="H81" s="3">
        <v>8</v>
      </c>
      <c r="I81" s="3">
        <v>15</v>
      </c>
      <c r="J81" s="3">
        <v>18</v>
      </c>
      <c r="K81" s="5">
        <v>9.875</v>
      </c>
      <c r="L81" s="5">
        <v>11.6</v>
      </c>
      <c r="M81" s="3">
        <v>10.4</v>
      </c>
    </row>
    <row r="82" spans="1:13" ht="21" x14ac:dyDescent="0.5">
      <c r="A82" s="4">
        <v>81</v>
      </c>
      <c r="B82" s="4" t="s">
        <v>174</v>
      </c>
      <c r="C82" s="4" t="s">
        <v>175</v>
      </c>
      <c r="D82" s="5">
        <v>8.75</v>
      </c>
      <c r="E82" s="3">
        <v>12</v>
      </c>
      <c r="F82" s="3">
        <v>4.8</v>
      </c>
      <c r="G82" s="3">
        <v>5.6000000000000005</v>
      </c>
      <c r="H82" s="3">
        <v>11.5</v>
      </c>
      <c r="I82" s="3">
        <v>14</v>
      </c>
      <c r="J82" s="3">
        <v>13</v>
      </c>
      <c r="K82" s="5">
        <v>11</v>
      </c>
      <c r="L82" s="5">
        <v>8.8000000000000007</v>
      </c>
      <c r="M82" s="3">
        <v>12.2</v>
      </c>
    </row>
    <row r="83" spans="1:13" ht="21" x14ac:dyDescent="0.5">
      <c r="A83" s="4">
        <v>82</v>
      </c>
      <c r="B83" s="4" t="s">
        <v>176</v>
      </c>
      <c r="C83" s="4" t="s">
        <v>177</v>
      </c>
      <c r="D83" s="5">
        <v>14.375</v>
      </c>
      <c r="E83" s="3">
        <v>14</v>
      </c>
      <c r="F83" s="3">
        <v>9.6</v>
      </c>
      <c r="G83" s="3">
        <v>7</v>
      </c>
      <c r="H83" s="3">
        <v>12</v>
      </c>
      <c r="I83" s="3">
        <v>13</v>
      </c>
      <c r="J83" s="3">
        <v>13</v>
      </c>
      <c r="K83" s="5">
        <v>14.75</v>
      </c>
      <c r="L83" s="5">
        <v>12</v>
      </c>
      <c r="M83" s="3">
        <v>12.4</v>
      </c>
    </row>
    <row r="84" spans="1:13" ht="21" x14ac:dyDescent="0.5">
      <c r="A84" s="4">
        <v>83</v>
      </c>
      <c r="B84" s="4" t="s">
        <v>178</v>
      </c>
      <c r="C84" s="4" t="s">
        <v>179</v>
      </c>
      <c r="D84" s="5">
        <v>11</v>
      </c>
      <c r="E84" s="3">
        <v>14</v>
      </c>
      <c r="F84" s="3">
        <v>5.8999999999999995</v>
      </c>
      <c r="G84" s="3">
        <v>3.2</v>
      </c>
      <c r="H84" s="3">
        <v>11.5</v>
      </c>
      <c r="I84" s="3">
        <v>14</v>
      </c>
      <c r="J84" s="3">
        <v>18</v>
      </c>
      <c r="K84" s="5">
        <v>9.5</v>
      </c>
      <c r="L84" s="5">
        <v>13.6</v>
      </c>
      <c r="M84" s="3">
        <v>10.600000000000001</v>
      </c>
    </row>
    <row r="85" spans="1:13" ht="21" x14ac:dyDescent="0.5">
      <c r="A85" s="4">
        <v>84</v>
      </c>
      <c r="B85" s="4" t="s">
        <v>180</v>
      </c>
      <c r="C85" s="4" t="s">
        <v>181</v>
      </c>
      <c r="D85" s="5">
        <v>12.875</v>
      </c>
      <c r="E85" s="3">
        <v>13</v>
      </c>
      <c r="F85" s="3">
        <v>9.2000000000000011</v>
      </c>
      <c r="G85" s="3">
        <v>8.1000000000000014</v>
      </c>
      <c r="H85" s="3">
        <v>10</v>
      </c>
      <c r="I85" s="3">
        <v>10</v>
      </c>
      <c r="J85" s="3">
        <v>13</v>
      </c>
      <c r="K85" s="5">
        <v>15.125</v>
      </c>
      <c r="L85" s="5">
        <v>14</v>
      </c>
      <c r="M85" s="3">
        <v>10.8</v>
      </c>
    </row>
    <row r="86" spans="1:13" ht="21" x14ac:dyDescent="0.5">
      <c r="A86" s="4">
        <v>85</v>
      </c>
      <c r="B86" s="4" t="s">
        <v>182</v>
      </c>
      <c r="C86" s="4" t="s">
        <v>183</v>
      </c>
      <c r="D86" s="5">
        <v>17</v>
      </c>
      <c r="E86" s="3">
        <v>16</v>
      </c>
      <c r="F86" s="3">
        <v>9.5079999999999991</v>
      </c>
      <c r="G86" s="3">
        <v>9.6999999999999993</v>
      </c>
      <c r="H86" s="3">
        <v>15.5</v>
      </c>
      <c r="I86" s="3">
        <v>10</v>
      </c>
      <c r="J86" s="3">
        <v>13</v>
      </c>
      <c r="K86" s="5">
        <v>15.125</v>
      </c>
      <c r="L86" s="5">
        <v>14</v>
      </c>
      <c r="M86" s="3">
        <v>13</v>
      </c>
    </row>
    <row r="87" spans="1:13" ht="21" x14ac:dyDescent="0.5">
      <c r="A87" s="4">
        <v>86</v>
      </c>
      <c r="B87" s="4" t="s">
        <v>184</v>
      </c>
      <c r="C87" s="4" t="s">
        <v>185</v>
      </c>
      <c r="D87" s="5">
        <v>16.625</v>
      </c>
      <c r="E87" s="3">
        <v>18</v>
      </c>
      <c r="F87" s="3">
        <v>9.3000000000000007</v>
      </c>
      <c r="G87" s="3">
        <v>7.8000000000000007</v>
      </c>
      <c r="H87" s="3">
        <v>16</v>
      </c>
      <c r="I87" s="3">
        <v>13</v>
      </c>
      <c r="J87" s="3">
        <v>18</v>
      </c>
      <c r="K87" s="5">
        <v>16.625</v>
      </c>
      <c r="L87" s="5">
        <v>15.6</v>
      </c>
      <c r="M87" s="3">
        <v>11.6</v>
      </c>
    </row>
    <row r="88" spans="1:13" ht="21" x14ac:dyDescent="0.5">
      <c r="A88" s="4">
        <v>87</v>
      </c>
      <c r="B88" s="4" t="s">
        <v>186</v>
      </c>
      <c r="C88" s="4" t="s">
        <v>187</v>
      </c>
      <c r="D88" s="5">
        <v>14.375</v>
      </c>
      <c r="E88" s="3">
        <v>16</v>
      </c>
      <c r="F88" s="3">
        <v>12.5</v>
      </c>
      <c r="G88" s="3">
        <v>9.6</v>
      </c>
      <c r="H88" s="3">
        <v>8</v>
      </c>
      <c r="I88" s="3">
        <v>15</v>
      </c>
      <c r="J88" s="3">
        <v>17</v>
      </c>
      <c r="K88" s="5">
        <v>18.125</v>
      </c>
      <c r="L88" s="5">
        <v>16.8</v>
      </c>
      <c r="M88" s="3">
        <v>12.4</v>
      </c>
    </row>
    <row r="89" spans="1:13" ht="21" x14ac:dyDescent="0.5">
      <c r="A89" s="4">
        <v>88</v>
      </c>
      <c r="B89" s="4" t="s">
        <v>188</v>
      </c>
      <c r="C89" s="4" t="s">
        <v>189</v>
      </c>
      <c r="D89" s="5">
        <v>18.875</v>
      </c>
      <c r="E89" s="3">
        <v>20</v>
      </c>
      <c r="F89" s="3">
        <v>10.600000000000001</v>
      </c>
      <c r="G89" s="3">
        <v>12</v>
      </c>
      <c r="H89" s="3">
        <v>16.600000000000001</v>
      </c>
      <c r="I89" s="3">
        <v>10</v>
      </c>
      <c r="J89" s="3">
        <v>19</v>
      </c>
      <c r="K89" s="5">
        <v>17</v>
      </c>
      <c r="L89" s="5">
        <v>17.2</v>
      </c>
      <c r="M89" s="3">
        <v>12.6</v>
      </c>
    </row>
    <row r="90" spans="1:13" ht="21" x14ac:dyDescent="0.5">
      <c r="A90" s="4">
        <v>89</v>
      </c>
      <c r="B90" s="4" t="s">
        <v>190</v>
      </c>
      <c r="C90" s="4" t="s">
        <v>191</v>
      </c>
      <c r="D90" s="5">
        <v>16.625</v>
      </c>
      <c r="E90" s="3">
        <v>18</v>
      </c>
      <c r="F90" s="3">
        <v>11.200000000000001</v>
      </c>
      <c r="G90" s="3">
        <v>14</v>
      </c>
      <c r="H90" s="3">
        <v>15.5</v>
      </c>
      <c r="I90" s="3">
        <v>16</v>
      </c>
      <c r="J90" s="3">
        <v>19</v>
      </c>
      <c r="K90" s="5">
        <v>18.125</v>
      </c>
      <c r="L90" s="5">
        <v>15.2</v>
      </c>
      <c r="M90" s="3">
        <v>13.200000000000001</v>
      </c>
    </row>
    <row r="91" spans="1:13" ht="21" x14ac:dyDescent="0.5">
      <c r="A91" s="4">
        <v>90</v>
      </c>
      <c r="B91" s="4" t="s">
        <v>192</v>
      </c>
      <c r="C91" s="4" t="s">
        <v>193</v>
      </c>
      <c r="D91" s="5">
        <v>17</v>
      </c>
      <c r="E91" s="3">
        <v>16</v>
      </c>
      <c r="F91" s="3">
        <v>10.600000000000001</v>
      </c>
      <c r="G91" s="3">
        <v>8.4</v>
      </c>
      <c r="H91" s="3">
        <v>15.5</v>
      </c>
      <c r="I91" s="3">
        <v>16</v>
      </c>
      <c r="J91" s="3">
        <v>17</v>
      </c>
      <c r="K91" s="5">
        <v>16.625</v>
      </c>
      <c r="L91" s="5">
        <v>16.399999999999999</v>
      </c>
      <c r="M91" s="3">
        <v>13.200000000000001</v>
      </c>
    </row>
    <row r="92" spans="1:13" ht="21" x14ac:dyDescent="0.5">
      <c r="A92" s="4">
        <v>91</v>
      </c>
      <c r="B92" s="4" t="s">
        <v>194</v>
      </c>
      <c r="C92" s="4" t="s">
        <v>195</v>
      </c>
      <c r="D92" s="5">
        <v>14.75</v>
      </c>
      <c r="E92" s="3">
        <v>14</v>
      </c>
      <c r="F92" s="3">
        <v>9.3999999999999986</v>
      </c>
      <c r="G92" s="3">
        <v>10</v>
      </c>
      <c r="H92" s="3">
        <v>10</v>
      </c>
      <c r="I92" s="3">
        <v>15</v>
      </c>
      <c r="J92" s="3">
        <v>18</v>
      </c>
      <c r="K92" s="5">
        <v>16.25</v>
      </c>
      <c r="L92" s="5">
        <v>16</v>
      </c>
      <c r="M92" s="3">
        <v>13.4</v>
      </c>
    </row>
    <row r="93" spans="1:13" ht="21" x14ac:dyDescent="0.5">
      <c r="A93" s="4">
        <v>92</v>
      </c>
      <c r="B93" s="4" t="s">
        <v>196</v>
      </c>
      <c r="C93" s="4" t="s">
        <v>197</v>
      </c>
      <c r="D93" s="5">
        <v>14</v>
      </c>
      <c r="E93" s="3">
        <v>16</v>
      </c>
      <c r="F93" s="3">
        <v>9.9</v>
      </c>
      <c r="G93" s="3">
        <v>10.199999999999999</v>
      </c>
      <c r="H93" s="3">
        <v>10</v>
      </c>
      <c r="I93" s="3">
        <v>15</v>
      </c>
      <c r="J93" s="3">
        <v>13</v>
      </c>
      <c r="K93" s="5">
        <v>15.125</v>
      </c>
      <c r="L93" s="5">
        <v>16.8</v>
      </c>
      <c r="M93" s="3">
        <v>13</v>
      </c>
    </row>
    <row r="94" spans="1:13" ht="21" x14ac:dyDescent="0.5">
      <c r="A94" s="4">
        <v>93</v>
      </c>
      <c r="B94" s="4" t="s">
        <v>198</v>
      </c>
      <c r="C94" s="4" t="s">
        <v>199</v>
      </c>
      <c r="D94" s="5">
        <v>9.875</v>
      </c>
      <c r="E94" s="3">
        <v>10</v>
      </c>
      <c r="F94" s="3">
        <v>3.15</v>
      </c>
      <c r="G94" s="3">
        <v>2.2000000000000002</v>
      </c>
      <c r="H94" s="3">
        <v>9</v>
      </c>
      <c r="I94" s="3">
        <v>0</v>
      </c>
      <c r="J94" s="3">
        <v>13</v>
      </c>
      <c r="K94" s="5">
        <v>9.875</v>
      </c>
      <c r="L94" s="5">
        <v>0</v>
      </c>
      <c r="M94" s="3">
        <v>10</v>
      </c>
    </row>
    <row r="95" spans="1:13" ht="21" x14ac:dyDescent="0.5">
      <c r="A95" s="4">
        <v>94</v>
      </c>
      <c r="B95" s="4" t="s">
        <v>200</v>
      </c>
      <c r="C95" s="4" t="s">
        <v>201</v>
      </c>
      <c r="D95" s="5">
        <v>11</v>
      </c>
      <c r="E95" s="3">
        <v>14</v>
      </c>
      <c r="F95" s="3">
        <v>3.5999999999999996</v>
      </c>
      <c r="G95" s="3">
        <v>9.6</v>
      </c>
      <c r="H95" s="3">
        <v>8</v>
      </c>
      <c r="I95" s="3">
        <v>10</v>
      </c>
      <c r="J95" s="3">
        <v>16</v>
      </c>
      <c r="K95" s="5">
        <v>11.375</v>
      </c>
      <c r="L95" s="5">
        <v>12.4</v>
      </c>
      <c r="M95" s="3">
        <v>12.2</v>
      </c>
    </row>
    <row r="96" spans="1:13" ht="21" x14ac:dyDescent="0.5">
      <c r="A96" s="4">
        <v>95</v>
      </c>
      <c r="B96" s="4" t="s">
        <v>202</v>
      </c>
      <c r="C96" s="4" t="s">
        <v>203</v>
      </c>
      <c r="D96" s="5">
        <v>16.25</v>
      </c>
      <c r="E96" s="3">
        <v>16</v>
      </c>
      <c r="F96" s="3">
        <v>10.199999999999999</v>
      </c>
      <c r="G96" s="3">
        <v>8.1999999999999993</v>
      </c>
      <c r="H96" s="3">
        <v>18.5</v>
      </c>
      <c r="I96" s="3">
        <v>10</v>
      </c>
      <c r="J96" s="3">
        <v>13</v>
      </c>
      <c r="K96" s="5">
        <v>15.875</v>
      </c>
      <c r="L96" s="5">
        <v>12.8</v>
      </c>
      <c r="M96" s="3">
        <v>12.2</v>
      </c>
    </row>
    <row r="97" spans="1:13" ht="21" x14ac:dyDescent="0.5">
      <c r="A97" s="4">
        <v>96</v>
      </c>
      <c r="B97" s="4" t="s">
        <v>204</v>
      </c>
      <c r="C97" s="4" t="s">
        <v>205</v>
      </c>
      <c r="D97" s="5">
        <v>14.375</v>
      </c>
      <c r="E97" s="3">
        <v>14</v>
      </c>
      <c r="F97" s="3">
        <v>5</v>
      </c>
      <c r="G97" s="3">
        <v>7.9</v>
      </c>
      <c r="H97" s="3">
        <v>9</v>
      </c>
      <c r="I97" s="3">
        <v>10</v>
      </c>
      <c r="J97" s="3">
        <v>18</v>
      </c>
      <c r="K97" s="5">
        <v>12.125</v>
      </c>
      <c r="L97" s="5">
        <v>12</v>
      </c>
      <c r="M97" s="3">
        <v>12.4</v>
      </c>
    </row>
    <row r="98" spans="1:13" ht="21" x14ac:dyDescent="0.5">
      <c r="A98" s="4">
        <v>97</v>
      </c>
      <c r="B98" s="4" t="s">
        <v>206</v>
      </c>
      <c r="C98" s="4" t="s">
        <v>207</v>
      </c>
      <c r="D98" s="5">
        <v>9.875</v>
      </c>
      <c r="E98" s="3">
        <v>0</v>
      </c>
      <c r="F98" s="3">
        <v>2.1</v>
      </c>
      <c r="G98" s="3">
        <v>2.5</v>
      </c>
      <c r="H98" s="3">
        <v>4</v>
      </c>
      <c r="I98" s="3">
        <v>10</v>
      </c>
      <c r="J98" s="3">
        <v>13</v>
      </c>
      <c r="K98" s="5">
        <v>11</v>
      </c>
      <c r="L98" s="5">
        <v>10.4</v>
      </c>
      <c r="M98" s="3">
        <v>10.8</v>
      </c>
    </row>
    <row r="99" spans="1:13" ht="21" x14ac:dyDescent="0.5">
      <c r="A99" s="4">
        <v>98</v>
      </c>
      <c r="B99" s="4" t="s">
        <v>208</v>
      </c>
      <c r="C99" s="4" t="s">
        <v>209</v>
      </c>
      <c r="D99" s="5">
        <v>14.375</v>
      </c>
      <c r="E99" s="3">
        <v>15</v>
      </c>
      <c r="F99" s="3">
        <v>3.4000000000000004</v>
      </c>
      <c r="G99" s="3">
        <v>5.4</v>
      </c>
      <c r="H99" s="3">
        <v>11.5</v>
      </c>
      <c r="I99" s="3">
        <v>12</v>
      </c>
      <c r="J99" s="3">
        <v>18</v>
      </c>
      <c r="K99" s="5">
        <v>11</v>
      </c>
      <c r="L99" s="5">
        <v>13.6</v>
      </c>
      <c r="M99" s="3">
        <v>8.1999999999999993</v>
      </c>
    </row>
    <row r="100" spans="1:13" ht="21" x14ac:dyDescent="0.5">
      <c r="A100" s="4">
        <v>99</v>
      </c>
      <c r="B100" s="4" t="s">
        <v>210</v>
      </c>
      <c r="C100" s="4" t="s">
        <v>211</v>
      </c>
      <c r="D100" s="5">
        <v>16.25</v>
      </c>
      <c r="E100" s="3">
        <v>16</v>
      </c>
      <c r="F100" s="3">
        <v>11.399999999999999</v>
      </c>
      <c r="G100" s="3">
        <v>7.8000000000000007</v>
      </c>
      <c r="H100" s="3">
        <v>14</v>
      </c>
      <c r="I100" s="3">
        <v>12</v>
      </c>
      <c r="J100" s="3">
        <v>19</v>
      </c>
      <c r="K100" s="5">
        <v>16.625</v>
      </c>
      <c r="L100" s="5">
        <v>14</v>
      </c>
      <c r="M100" s="3">
        <v>12.8</v>
      </c>
    </row>
    <row r="101" spans="1:13" ht="21" x14ac:dyDescent="0.5">
      <c r="A101" s="4">
        <v>100</v>
      </c>
      <c r="B101" s="4" t="s">
        <v>212</v>
      </c>
      <c r="C101" s="4" t="s">
        <v>213</v>
      </c>
      <c r="D101" s="5">
        <v>13.25</v>
      </c>
      <c r="E101" s="3">
        <v>13</v>
      </c>
      <c r="F101" s="3">
        <v>6.7</v>
      </c>
      <c r="G101" s="3">
        <v>11.100000000000001</v>
      </c>
      <c r="H101" s="3">
        <v>10</v>
      </c>
      <c r="I101" s="3">
        <v>13</v>
      </c>
      <c r="J101" s="3">
        <v>13</v>
      </c>
      <c r="K101" s="5">
        <v>13.25</v>
      </c>
      <c r="L101" s="5">
        <v>13.2</v>
      </c>
      <c r="M101" s="3">
        <v>12.6</v>
      </c>
    </row>
    <row r="102" spans="1:13" ht="21" x14ac:dyDescent="0.5">
      <c r="A102" s="4">
        <v>101</v>
      </c>
      <c r="B102" s="4" t="s">
        <v>214</v>
      </c>
      <c r="C102" s="4" t="s">
        <v>215</v>
      </c>
      <c r="D102" s="5">
        <v>12.5</v>
      </c>
      <c r="E102" s="3">
        <v>11</v>
      </c>
      <c r="F102" s="3">
        <v>8.6</v>
      </c>
      <c r="G102" s="3">
        <v>7</v>
      </c>
      <c r="H102" s="3">
        <v>12.5</v>
      </c>
      <c r="I102" s="3">
        <v>14</v>
      </c>
      <c r="J102" s="3">
        <v>19</v>
      </c>
      <c r="K102" s="5">
        <v>15.125</v>
      </c>
      <c r="L102" s="5">
        <v>12</v>
      </c>
      <c r="M102" s="3">
        <v>13</v>
      </c>
    </row>
    <row r="103" spans="1:13" ht="21" x14ac:dyDescent="0.5">
      <c r="A103" s="4">
        <v>102</v>
      </c>
      <c r="B103" s="4" t="s">
        <v>216</v>
      </c>
      <c r="C103" s="4" t="s">
        <v>217</v>
      </c>
      <c r="D103" s="5">
        <v>16.625</v>
      </c>
      <c r="E103" s="3">
        <v>17</v>
      </c>
      <c r="F103" s="3">
        <v>11</v>
      </c>
      <c r="G103" s="3">
        <v>9</v>
      </c>
      <c r="H103" s="3">
        <v>14</v>
      </c>
      <c r="I103" s="3">
        <v>15</v>
      </c>
      <c r="J103" s="3">
        <v>13</v>
      </c>
      <c r="K103" s="5">
        <v>17</v>
      </c>
      <c r="L103" s="5">
        <v>13.6</v>
      </c>
      <c r="M103" s="3">
        <v>12.4</v>
      </c>
    </row>
    <row r="104" spans="1:13" ht="21" x14ac:dyDescent="0.5">
      <c r="A104" s="4">
        <v>103</v>
      </c>
      <c r="B104" s="4" t="s">
        <v>218</v>
      </c>
      <c r="C104" s="4" t="s">
        <v>219</v>
      </c>
      <c r="D104" s="5">
        <v>17.75</v>
      </c>
      <c r="E104" s="3">
        <v>19</v>
      </c>
      <c r="F104" s="3">
        <v>11.100000000000001</v>
      </c>
      <c r="G104" s="3">
        <v>9.8000000000000007</v>
      </c>
      <c r="H104" s="3">
        <v>14.5</v>
      </c>
      <c r="I104" s="3">
        <v>10</v>
      </c>
      <c r="J104" s="3">
        <v>17</v>
      </c>
      <c r="K104" s="5">
        <v>18.125</v>
      </c>
      <c r="L104" s="5">
        <v>16.399999999999999</v>
      </c>
      <c r="M104" s="3">
        <v>13</v>
      </c>
    </row>
    <row r="105" spans="1:13" ht="21" x14ac:dyDescent="0.5">
      <c r="A105" s="4">
        <v>104</v>
      </c>
      <c r="B105" s="4" t="s">
        <v>220</v>
      </c>
      <c r="C105" s="4" t="s">
        <v>221</v>
      </c>
      <c r="D105" s="5">
        <v>13.625</v>
      </c>
      <c r="E105" s="3">
        <v>15</v>
      </c>
      <c r="F105" s="3">
        <v>10.3</v>
      </c>
      <c r="G105" s="3">
        <v>8.2999999999999989</v>
      </c>
      <c r="H105" s="3">
        <v>10.5</v>
      </c>
      <c r="I105" s="3">
        <v>14</v>
      </c>
      <c r="J105" s="3">
        <v>13</v>
      </c>
      <c r="K105" s="5">
        <v>13.625</v>
      </c>
      <c r="L105" s="5">
        <v>13.2</v>
      </c>
      <c r="M105" s="3">
        <v>12.6</v>
      </c>
    </row>
    <row r="106" spans="1:13" ht="21" x14ac:dyDescent="0.5">
      <c r="A106" s="4">
        <v>105</v>
      </c>
      <c r="B106" s="4" t="s">
        <v>222</v>
      </c>
      <c r="C106" s="4" t="s">
        <v>223</v>
      </c>
      <c r="D106" s="5">
        <v>15.875</v>
      </c>
      <c r="E106" s="3">
        <v>17</v>
      </c>
      <c r="F106" s="3">
        <v>9.9</v>
      </c>
      <c r="G106" s="3">
        <v>10.8</v>
      </c>
      <c r="H106" s="3">
        <v>10</v>
      </c>
      <c r="I106" s="3">
        <v>10</v>
      </c>
      <c r="J106" s="3">
        <v>13</v>
      </c>
      <c r="K106" s="5">
        <v>15.5</v>
      </c>
      <c r="L106" s="5">
        <v>16</v>
      </c>
      <c r="M106" s="3">
        <v>13.200000000000001</v>
      </c>
    </row>
    <row r="107" spans="1:13" ht="21" x14ac:dyDescent="0.5">
      <c r="A107" s="4">
        <v>106</v>
      </c>
      <c r="B107" s="4" t="s">
        <v>224</v>
      </c>
      <c r="C107" s="4" t="s">
        <v>225</v>
      </c>
      <c r="D107" s="5">
        <v>15.125</v>
      </c>
      <c r="E107" s="3">
        <v>18</v>
      </c>
      <c r="F107" s="3">
        <v>11.7</v>
      </c>
      <c r="G107" s="3">
        <v>9.8000000000000007</v>
      </c>
      <c r="H107" s="3">
        <v>10.5</v>
      </c>
      <c r="I107" s="3">
        <v>15</v>
      </c>
      <c r="J107" s="3">
        <v>18</v>
      </c>
      <c r="K107" s="5">
        <v>15.125</v>
      </c>
      <c r="L107" s="5">
        <v>13.2</v>
      </c>
      <c r="M107" s="3">
        <v>13.600000000000001</v>
      </c>
    </row>
    <row r="108" spans="1:13" ht="21" x14ac:dyDescent="0.5">
      <c r="A108" s="4">
        <v>107</v>
      </c>
      <c r="B108" s="4" t="s">
        <v>226</v>
      </c>
      <c r="C108" s="4" t="s">
        <v>227</v>
      </c>
      <c r="D108" s="5">
        <v>11</v>
      </c>
      <c r="E108" s="3">
        <v>11</v>
      </c>
      <c r="F108" s="3">
        <v>3.95</v>
      </c>
      <c r="G108" s="3">
        <v>7.1999999999999993</v>
      </c>
      <c r="H108" s="3">
        <v>11</v>
      </c>
      <c r="I108" s="3">
        <v>15</v>
      </c>
      <c r="J108" s="3">
        <v>13</v>
      </c>
      <c r="K108" s="5">
        <v>12.125</v>
      </c>
      <c r="L108" s="5">
        <v>11.2</v>
      </c>
      <c r="M108" s="3">
        <v>11.200000000000001</v>
      </c>
    </row>
    <row r="109" spans="1:13" ht="21" x14ac:dyDescent="0.5">
      <c r="A109" s="4">
        <v>108</v>
      </c>
      <c r="B109" s="4" t="s">
        <v>228</v>
      </c>
      <c r="C109" s="4" t="s">
        <v>229</v>
      </c>
      <c r="D109" s="5">
        <v>14.375</v>
      </c>
      <c r="E109" s="3">
        <v>16</v>
      </c>
      <c r="F109" s="3">
        <v>11.299999999999999</v>
      </c>
      <c r="G109" s="3">
        <v>10.8</v>
      </c>
      <c r="H109" s="3">
        <v>16</v>
      </c>
      <c r="I109" s="3">
        <v>15</v>
      </c>
      <c r="J109" s="3">
        <v>19</v>
      </c>
      <c r="K109" s="5">
        <v>12.5</v>
      </c>
      <c r="L109" s="5">
        <v>14</v>
      </c>
      <c r="M109" s="3">
        <v>12.8</v>
      </c>
    </row>
    <row r="110" spans="1:13" ht="21" x14ac:dyDescent="0.5">
      <c r="A110" s="4">
        <v>109</v>
      </c>
      <c r="B110" s="4" t="s">
        <v>230</v>
      </c>
      <c r="C110" s="4" t="s">
        <v>231</v>
      </c>
      <c r="D110" s="5">
        <v>11.75</v>
      </c>
      <c r="E110" s="3">
        <v>16</v>
      </c>
      <c r="F110" s="3">
        <v>7.9</v>
      </c>
      <c r="G110" s="3">
        <v>11.399999999999999</v>
      </c>
      <c r="H110" s="3">
        <v>10</v>
      </c>
      <c r="I110" s="3">
        <v>10</v>
      </c>
      <c r="J110" s="3">
        <v>13</v>
      </c>
      <c r="K110" s="5">
        <v>12.125</v>
      </c>
      <c r="L110" s="5">
        <v>10.8</v>
      </c>
      <c r="M110" s="3">
        <v>11</v>
      </c>
    </row>
    <row r="111" spans="1:13" ht="21" x14ac:dyDescent="0.5">
      <c r="A111" s="4">
        <v>110</v>
      </c>
      <c r="B111" s="4" t="s">
        <v>232</v>
      </c>
      <c r="C111" s="4" t="s">
        <v>233</v>
      </c>
      <c r="D111" s="5">
        <v>11</v>
      </c>
      <c r="E111" s="3">
        <v>7</v>
      </c>
      <c r="F111" s="3">
        <v>3.05</v>
      </c>
      <c r="G111" s="3">
        <v>2.4</v>
      </c>
      <c r="H111" s="3">
        <v>15</v>
      </c>
      <c r="I111" s="3">
        <v>16</v>
      </c>
      <c r="J111" s="3">
        <v>18</v>
      </c>
      <c r="K111" s="5">
        <v>11.375</v>
      </c>
      <c r="L111" s="5">
        <v>11.2</v>
      </c>
      <c r="M111" s="3">
        <v>11.399999999999999</v>
      </c>
    </row>
    <row r="112" spans="1:13" ht="21" x14ac:dyDescent="0.5">
      <c r="A112" s="4">
        <v>111</v>
      </c>
      <c r="B112" s="4" t="s">
        <v>234</v>
      </c>
      <c r="C112" s="4" t="s">
        <v>235</v>
      </c>
      <c r="D112" s="5">
        <v>11.375</v>
      </c>
      <c r="E112" s="3">
        <v>14</v>
      </c>
      <c r="F112" s="3">
        <v>8.4</v>
      </c>
      <c r="G112" s="3">
        <v>3.1</v>
      </c>
      <c r="H112" s="3">
        <v>10</v>
      </c>
      <c r="I112" s="3">
        <v>15</v>
      </c>
      <c r="J112" s="3">
        <v>13</v>
      </c>
      <c r="K112" s="5">
        <v>11.375</v>
      </c>
      <c r="L112" s="5">
        <v>11.6</v>
      </c>
      <c r="M112" s="3">
        <v>12.2</v>
      </c>
    </row>
    <row r="113" spans="1:13" ht="21" x14ac:dyDescent="0.5">
      <c r="A113" s="4">
        <v>112</v>
      </c>
      <c r="B113" s="4" t="s">
        <v>236</v>
      </c>
      <c r="C113" s="4" t="s">
        <v>237</v>
      </c>
      <c r="D113" s="5">
        <v>15.125</v>
      </c>
      <c r="E113" s="3">
        <v>17</v>
      </c>
      <c r="F113" s="3">
        <v>7.7</v>
      </c>
      <c r="G113" s="3">
        <v>7.7</v>
      </c>
      <c r="H113" s="3">
        <v>15</v>
      </c>
      <c r="I113" s="3">
        <v>10</v>
      </c>
      <c r="J113" s="3">
        <v>13</v>
      </c>
      <c r="K113" s="5">
        <v>14</v>
      </c>
      <c r="L113" s="5">
        <v>14.4</v>
      </c>
      <c r="M113" s="3">
        <v>11.6</v>
      </c>
    </row>
    <row r="114" spans="1:13" ht="21" x14ac:dyDescent="0.5">
      <c r="A114" s="4">
        <v>113</v>
      </c>
      <c r="B114" s="4" t="s">
        <v>238</v>
      </c>
      <c r="C114" s="4" t="s">
        <v>239</v>
      </c>
      <c r="D114" s="5">
        <v>14</v>
      </c>
      <c r="E114" s="3">
        <v>14</v>
      </c>
      <c r="F114" s="3">
        <v>10.5</v>
      </c>
      <c r="G114" s="3">
        <v>8.1000000000000014</v>
      </c>
      <c r="H114" s="3">
        <v>10</v>
      </c>
      <c r="I114" s="3">
        <v>10</v>
      </c>
      <c r="J114" s="3">
        <v>19</v>
      </c>
      <c r="K114" s="5">
        <v>12.875</v>
      </c>
      <c r="L114" s="5">
        <v>11.6</v>
      </c>
      <c r="M114" s="3">
        <v>13</v>
      </c>
    </row>
    <row r="115" spans="1:13" ht="21" x14ac:dyDescent="0.5">
      <c r="A115" s="4">
        <v>114</v>
      </c>
      <c r="B115" s="4" t="s">
        <v>240</v>
      </c>
      <c r="C115" s="4" t="s">
        <v>241</v>
      </c>
      <c r="D115" s="5">
        <v>13.625</v>
      </c>
      <c r="E115" s="3">
        <v>13</v>
      </c>
      <c r="F115" s="3">
        <v>10</v>
      </c>
      <c r="G115" s="3">
        <v>5.8</v>
      </c>
      <c r="H115" s="3">
        <v>12</v>
      </c>
      <c r="I115" s="3">
        <v>16</v>
      </c>
      <c r="J115" s="3">
        <v>17</v>
      </c>
      <c r="K115" s="5">
        <v>10.625</v>
      </c>
      <c r="L115" s="5">
        <v>10.4</v>
      </c>
      <c r="M115" s="3">
        <v>13</v>
      </c>
    </row>
    <row r="116" spans="1:13" ht="21" x14ac:dyDescent="0.5">
      <c r="A116" s="4">
        <v>115</v>
      </c>
      <c r="B116" s="4" t="s">
        <v>242</v>
      </c>
      <c r="C116" s="4" t="s">
        <v>243</v>
      </c>
      <c r="D116" s="5">
        <v>9.5</v>
      </c>
      <c r="E116" s="3">
        <v>13</v>
      </c>
      <c r="F116" s="3">
        <v>4</v>
      </c>
      <c r="G116" s="3">
        <v>7.4</v>
      </c>
      <c r="H116" s="3">
        <v>8</v>
      </c>
      <c r="I116" s="3">
        <v>15</v>
      </c>
      <c r="J116" s="3">
        <v>14</v>
      </c>
      <c r="K116" s="5">
        <v>13.625</v>
      </c>
      <c r="L116" s="5">
        <v>11.6</v>
      </c>
      <c r="M116" s="3">
        <v>10.4</v>
      </c>
    </row>
    <row r="117" spans="1:13" ht="21" x14ac:dyDescent="0.5">
      <c r="A117" s="4">
        <v>116</v>
      </c>
      <c r="B117" s="4" t="s">
        <v>244</v>
      </c>
      <c r="C117" s="4" t="s">
        <v>245</v>
      </c>
      <c r="D117" s="5">
        <v>15.5</v>
      </c>
      <c r="E117" s="3">
        <v>18</v>
      </c>
      <c r="F117" s="3">
        <v>8.1999999999999993</v>
      </c>
      <c r="G117" s="3">
        <v>7</v>
      </c>
      <c r="H117" s="3">
        <v>14</v>
      </c>
      <c r="I117" s="3">
        <v>13</v>
      </c>
      <c r="J117" s="3">
        <v>19</v>
      </c>
      <c r="K117" s="5">
        <v>13.625</v>
      </c>
      <c r="L117" s="5">
        <v>11.2</v>
      </c>
      <c r="M117" s="3">
        <v>12.4</v>
      </c>
    </row>
    <row r="118" spans="1:13" ht="21" x14ac:dyDescent="0.5">
      <c r="A118" s="4">
        <v>117</v>
      </c>
      <c r="B118" s="4" t="s">
        <v>246</v>
      </c>
      <c r="C118" s="4" t="s">
        <v>247</v>
      </c>
      <c r="D118" s="5">
        <v>15.125</v>
      </c>
      <c r="E118" s="3">
        <v>19</v>
      </c>
      <c r="F118" s="3">
        <v>9.1</v>
      </c>
      <c r="G118" s="3">
        <v>9.9</v>
      </c>
      <c r="H118" s="3">
        <v>14</v>
      </c>
      <c r="I118" s="3">
        <v>25</v>
      </c>
      <c r="J118" s="3">
        <v>17</v>
      </c>
      <c r="K118" s="5">
        <v>16.625</v>
      </c>
      <c r="L118" s="5">
        <v>14</v>
      </c>
      <c r="M118" s="3">
        <v>11.6</v>
      </c>
    </row>
    <row r="119" spans="1:13" ht="21" x14ac:dyDescent="0.5">
      <c r="A119" s="4">
        <v>118</v>
      </c>
      <c r="B119" s="4" t="s">
        <v>248</v>
      </c>
      <c r="C119" s="4" t="s">
        <v>249</v>
      </c>
      <c r="D119" s="5">
        <v>14.375</v>
      </c>
      <c r="E119" s="3">
        <v>15</v>
      </c>
      <c r="F119" s="3">
        <v>12.6</v>
      </c>
      <c r="G119" s="3">
        <v>10.199999999999999</v>
      </c>
      <c r="H119" s="3">
        <v>17</v>
      </c>
      <c r="I119" s="3">
        <v>13</v>
      </c>
      <c r="J119" s="3">
        <v>16</v>
      </c>
      <c r="K119" s="5">
        <v>16.25</v>
      </c>
      <c r="L119" s="5">
        <v>15.6</v>
      </c>
      <c r="M119" s="3">
        <v>13.200000000000001</v>
      </c>
    </row>
    <row r="120" spans="1:13" ht="21" x14ac:dyDescent="0.5">
      <c r="A120" s="4">
        <v>119</v>
      </c>
      <c r="B120" s="4" t="s">
        <v>250</v>
      </c>
      <c r="C120" s="4" t="s">
        <v>251</v>
      </c>
      <c r="D120" s="5">
        <v>12.5</v>
      </c>
      <c r="E120" s="3">
        <v>11</v>
      </c>
      <c r="F120" s="3">
        <v>3.3000000000000003</v>
      </c>
      <c r="G120" s="3">
        <v>3.2</v>
      </c>
      <c r="H120" s="3">
        <v>8</v>
      </c>
      <c r="I120" s="3">
        <v>10</v>
      </c>
      <c r="J120" s="3">
        <v>13</v>
      </c>
      <c r="K120" s="5">
        <v>11.75</v>
      </c>
      <c r="L120" s="5">
        <v>12.8</v>
      </c>
      <c r="M120" s="3">
        <v>10.199999999999999</v>
      </c>
    </row>
    <row r="121" spans="1:13" ht="21" x14ac:dyDescent="0.5">
      <c r="A121" s="4">
        <v>120</v>
      </c>
      <c r="B121" s="4" t="s">
        <v>252</v>
      </c>
      <c r="C121" s="4" t="s">
        <v>253</v>
      </c>
      <c r="D121" s="5">
        <v>14.75</v>
      </c>
      <c r="E121" s="3">
        <v>17</v>
      </c>
      <c r="F121" s="3">
        <v>11.100000000000001</v>
      </c>
      <c r="G121" s="3">
        <v>8.4</v>
      </c>
      <c r="H121" s="3">
        <v>17.5</v>
      </c>
      <c r="I121" s="3">
        <v>10</v>
      </c>
      <c r="J121" s="3">
        <v>19</v>
      </c>
      <c r="K121" s="5">
        <v>13.25</v>
      </c>
      <c r="L121" s="5">
        <v>14</v>
      </c>
      <c r="M121" s="3">
        <v>13.200000000000001</v>
      </c>
    </row>
    <row r="122" spans="1:13" ht="21" x14ac:dyDescent="0.5">
      <c r="A122" s="4">
        <v>121</v>
      </c>
      <c r="B122" s="4" t="s">
        <v>254</v>
      </c>
      <c r="C122" s="4" t="s">
        <v>255</v>
      </c>
      <c r="D122" s="5">
        <v>11.375</v>
      </c>
      <c r="E122" s="3">
        <v>11</v>
      </c>
      <c r="F122" s="3">
        <v>2.3000000000000003</v>
      </c>
      <c r="G122" s="3">
        <v>3.9000000000000004</v>
      </c>
      <c r="H122" s="3">
        <v>5</v>
      </c>
      <c r="I122" s="3">
        <v>10</v>
      </c>
      <c r="J122" s="3">
        <v>16</v>
      </c>
      <c r="K122" s="5">
        <v>12.125</v>
      </c>
      <c r="L122" s="5">
        <v>10</v>
      </c>
      <c r="M122" s="3">
        <v>10.8</v>
      </c>
    </row>
    <row r="123" spans="1:13" ht="21" x14ac:dyDescent="0.5">
      <c r="A123" s="4">
        <v>122</v>
      </c>
      <c r="B123" s="4" t="s">
        <v>256</v>
      </c>
      <c r="C123" s="4" t="s">
        <v>257</v>
      </c>
      <c r="D123" s="5">
        <v>12.875</v>
      </c>
      <c r="E123" s="3">
        <v>12</v>
      </c>
      <c r="F123" s="3">
        <v>2.9</v>
      </c>
      <c r="G123" s="3">
        <v>3.4000000000000004</v>
      </c>
      <c r="H123" s="3">
        <v>10</v>
      </c>
      <c r="I123" s="3">
        <v>10</v>
      </c>
      <c r="J123" s="3">
        <v>19</v>
      </c>
      <c r="K123" s="5">
        <v>11.375</v>
      </c>
      <c r="L123" s="5">
        <v>12.8</v>
      </c>
      <c r="M123" s="3">
        <v>8</v>
      </c>
    </row>
    <row r="124" spans="1:13" ht="21" x14ac:dyDescent="0.5">
      <c r="A124" s="4">
        <v>123</v>
      </c>
      <c r="B124" s="4" t="s">
        <v>258</v>
      </c>
      <c r="C124" s="4" t="s">
        <v>259</v>
      </c>
      <c r="D124" s="5">
        <v>12.875</v>
      </c>
      <c r="E124" s="3">
        <v>14</v>
      </c>
      <c r="F124" s="3">
        <v>8.8000000000000007</v>
      </c>
      <c r="G124" s="3">
        <v>9</v>
      </c>
      <c r="H124" s="3">
        <v>11.5</v>
      </c>
      <c r="I124" s="3">
        <v>14</v>
      </c>
      <c r="J124" s="3">
        <v>19</v>
      </c>
      <c r="K124" s="5">
        <v>11.75</v>
      </c>
      <c r="L124" s="5">
        <v>10.4</v>
      </c>
      <c r="M124" s="3">
        <v>9.8000000000000007</v>
      </c>
    </row>
    <row r="125" spans="1:13" ht="21" x14ac:dyDescent="0.5">
      <c r="A125" s="4">
        <v>124</v>
      </c>
      <c r="B125" s="4" t="s">
        <v>260</v>
      </c>
      <c r="C125" s="4" t="s">
        <v>261</v>
      </c>
      <c r="D125" s="5">
        <v>14</v>
      </c>
      <c r="E125" s="3">
        <v>14</v>
      </c>
      <c r="F125" s="3">
        <v>11.799999999999999</v>
      </c>
      <c r="G125" s="3">
        <v>12</v>
      </c>
      <c r="H125" s="3">
        <v>13</v>
      </c>
      <c r="I125" s="3">
        <v>16</v>
      </c>
      <c r="J125" s="3">
        <v>19</v>
      </c>
      <c r="K125" s="5">
        <v>15.5</v>
      </c>
      <c r="L125" s="5">
        <v>16.399999999999999</v>
      </c>
      <c r="M125" s="3">
        <v>12.6</v>
      </c>
    </row>
    <row r="126" spans="1:13" ht="21" x14ac:dyDescent="0.5">
      <c r="A126" s="4">
        <v>125</v>
      </c>
      <c r="B126" s="4" t="s">
        <v>262</v>
      </c>
      <c r="C126" s="4" t="s">
        <v>263</v>
      </c>
      <c r="D126" s="5">
        <v>11.375</v>
      </c>
      <c r="E126" s="3">
        <v>18</v>
      </c>
      <c r="F126" s="3">
        <v>3.2</v>
      </c>
      <c r="G126" s="3">
        <v>8.8000000000000007</v>
      </c>
      <c r="H126" s="3">
        <v>8</v>
      </c>
      <c r="I126" s="3">
        <v>10</v>
      </c>
      <c r="J126" s="3">
        <v>13</v>
      </c>
      <c r="K126" s="5">
        <v>11.375</v>
      </c>
      <c r="L126" s="5">
        <v>11.6</v>
      </c>
      <c r="M126" s="3">
        <v>11.799999999999999</v>
      </c>
    </row>
    <row r="127" spans="1:13" ht="21" x14ac:dyDescent="0.5">
      <c r="A127" s="4">
        <v>126</v>
      </c>
      <c r="B127" s="4" t="s">
        <v>264</v>
      </c>
      <c r="C127" s="4" t="s">
        <v>265</v>
      </c>
      <c r="D127" s="5">
        <v>14.375</v>
      </c>
      <c r="E127" s="3">
        <v>19</v>
      </c>
      <c r="F127" s="3">
        <v>8.6</v>
      </c>
      <c r="G127" s="3">
        <v>6.4</v>
      </c>
      <c r="H127" s="3">
        <v>12</v>
      </c>
      <c r="I127" s="3">
        <v>10</v>
      </c>
      <c r="J127" s="3">
        <v>18</v>
      </c>
      <c r="K127" s="5">
        <v>15.875</v>
      </c>
      <c r="L127" s="5">
        <v>17.2</v>
      </c>
      <c r="M127" s="3">
        <v>11.6</v>
      </c>
    </row>
    <row r="128" spans="1:13" ht="21" x14ac:dyDescent="0.5">
      <c r="A128" s="4">
        <v>127</v>
      </c>
      <c r="B128" s="4" t="s">
        <v>266</v>
      </c>
      <c r="C128" s="4" t="s">
        <v>267</v>
      </c>
      <c r="D128" s="5">
        <v>14</v>
      </c>
      <c r="E128" s="3">
        <v>13</v>
      </c>
      <c r="F128" s="3">
        <v>8.9</v>
      </c>
      <c r="G128" s="3">
        <v>11.200000000000001</v>
      </c>
      <c r="H128" s="3">
        <v>10</v>
      </c>
      <c r="I128" s="3">
        <v>10</v>
      </c>
      <c r="J128" s="3">
        <v>18</v>
      </c>
      <c r="K128" s="5">
        <v>13.625</v>
      </c>
      <c r="L128" s="5">
        <v>12.4</v>
      </c>
      <c r="M128" s="3">
        <v>12.6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8"/>
  <sheetViews>
    <sheetView workbookViewId="0">
      <selection activeCell="C8" sqref="C8"/>
    </sheetView>
  </sheetViews>
  <sheetFormatPr defaultRowHeight="14.5" x14ac:dyDescent="0.35"/>
  <cols>
    <col min="1" max="1" width="3.81640625" style="2" bestFit="1" customWidth="1"/>
    <col min="2" max="2" width="28.26953125" style="2" customWidth="1"/>
    <col min="3" max="3" width="47" style="2" customWidth="1"/>
    <col min="4" max="4" width="17.81640625" style="2" bestFit="1" customWidth="1"/>
    <col min="5" max="5" width="22.453125" style="2" bestFit="1" customWidth="1"/>
    <col min="6" max="6" width="27.1796875" style="2" bestFit="1" customWidth="1"/>
    <col min="7" max="7" width="22.54296875" style="2" bestFit="1" customWidth="1"/>
    <col min="8" max="8" width="17.81640625" style="2" bestFit="1" customWidth="1"/>
    <col min="9" max="9" width="20.54296875" style="2" bestFit="1" customWidth="1"/>
    <col min="10" max="10" width="14.81640625" style="2" bestFit="1" customWidth="1"/>
    <col min="11" max="11" width="19.7265625" style="2" bestFit="1" customWidth="1"/>
    <col min="12" max="12" width="16.81640625" style="2" bestFit="1" customWidth="1"/>
    <col min="13" max="13" width="27.26953125" style="2" bestFit="1" customWidth="1"/>
    <col min="14" max="16384" width="8.7265625" style="2"/>
  </cols>
  <sheetData>
    <row r="1" spans="1:13" ht="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15.75" x14ac:dyDescent="0.25">
      <c r="A2" s="2">
        <v>1</v>
      </c>
      <c r="B2" s="6" t="s">
        <v>14</v>
      </c>
      <c r="C2" s="6" t="s">
        <v>15</v>
      </c>
      <c r="D2" s="2">
        <v>16.5</v>
      </c>
      <c r="E2" s="2">
        <v>17</v>
      </c>
      <c r="F2" s="2">
        <f>VLOOKUP(B2,[1]!Table10311[[REG. No]:[ENG]],5,0)</f>
        <v>16</v>
      </c>
      <c r="G2" s="2">
        <f>VLOOKUP(B2,[1]!Table10311[[REG. No]:[CITIZ]],6,0)</f>
        <v>14.5</v>
      </c>
      <c r="H2" s="2">
        <v>15</v>
      </c>
      <c r="I2" s="2">
        <f>VLOOKUP(B2,[1]!Table10311[[REG. No]:[FON]],8,0)</f>
        <v>14.5</v>
      </c>
      <c r="J2" s="2">
        <v>16</v>
      </c>
      <c r="K2" s="2">
        <v>11.5</v>
      </c>
      <c r="L2" s="2">
        <v>18.5</v>
      </c>
      <c r="M2" s="2">
        <v>13</v>
      </c>
    </row>
    <row r="3" spans="1:13" ht="15.75" x14ac:dyDescent="0.25">
      <c r="A3" s="2">
        <v>2</v>
      </c>
      <c r="B3" s="6" t="s">
        <v>16</v>
      </c>
      <c r="C3" s="6" t="s">
        <v>17</v>
      </c>
      <c r="D3" s="2">
        <v>9.5</v>
      </c>
      <c r="E3" s="2">
        <v>12</v>
      </c>
      <c r="F3" s="2">
        <f>VLOOKUP(B3,[1]!Table10311[[REG. No]:[ENG]],5,0)</f>
        <v>10</v>
      </c>
      <c r="G3" s="2">
        <f>VLOOKUP(B3,[1]!Table10311[[REG. No]:[CITIZ]],6,0)</f>
        <v>12.5</v>
      </c>
      <c r="H3" s="2">
        <v>11</v>
      </c>
      <c r="I3" s="2">
        <f>VLOOKUP(B3,[1]!Table10311[[REG. No]:[FON]],8,0)</f>
        <v>8</v>
      </c>
      <c r="J3" s="2">
        <v>11.5</v>
      </c>
      <c r="K3" s="2">
        <v>8.5</v>
      </c>
      <c r="L3" s="2">
        <v>14.5</v>
      </c>
      <c r="M3" s="2">
        <v>6</v>
      </c>
    </row>
    <row r="4" spans="1:13" ht="15.75" x14ac:dyDescent="0.25">
      <c r="A4" s="2">
        <v>3</v>
      </c>
      <c r="B4" s="6" t="s">
        <v>18</v>
      </c>
      <c r="C4" s="6" t="s">
        <v>19</v>
      </c>
      <c r="D4" s="2">
        <v>11</v>
      </c>
      <c r="E4" s="2">
        <v>14.5</v>
      </c>
      <c r="F4" s="2">
        <f>VLOOKUP(B4,[1]!Table10311[[REG. No]:[ENG]],5,0)</f>
        <v>13.5</v>
      </c>
      <c r="G4" s="2">
        <f>VLOOKUP(B4,[1]!Table10311[[REG. No]:[CITIZ]],6,0)</f>
        <v>15</v>
      </c>
      <c r="H4" s="2">
        <v>11.5</v>
      </c>
      <c r="I4" s="2">
        <f>VLOOKUP(B4,[1]!Table10311[[REG. No]:[FON]],8,0)</f>
        <v>10</v>
      </c>
      <c r="J4" s="2">
        <v>12</v>
      </c>
      <c r="K4" s="2">
        <v>11</v>
      </c>
      <c r="L4" s="2">
        <v>15</v>
      </c>
      <c r="M4" s="2">
        <v>9.5</v>
      </c>
    </row>
    <row r="5" spans="1:13" ht="15.75" x14ac:dyDescent="0.25">
      <c r="A5" s="2">
        <v>4</v>
      </c>
      <c r="B5" s="6" t="s">
        <v>20</v>
      </c>
      <c r="C5" s="6" t="s">
        <v>21</v>
      </c>
      <c r="D5" s="2">
        <v>13</v>
      </c>
      <c r="E5" s="2">
        <v>14.5</v>
      </c>
      <c r="F5" s="2">
        <f>VLOOKUP(B5,[1]!Table10311[[REG. No]:[ENG]],5,0)</f>
        <v>15.5</v>
      </c>
      <c r="G5" s="2">
        <f>VLOOKUP(B5,[1]!Table10311[[REG. No]:[CITIZ]],6,0)</f>
        <v>15</v>
      </c>
      <c r="H5" s="2">
        <v>11</v>
      </c>
      <c r="I5" s="2">
        <f>VLOOKUP(B5,[1]!Table10311[[REG. No]:[FON]],8,0)</f>
        <v>9.5</v>
      </c>
      <c r="J5" s="2">
        <v>12.5</v>
      </c>
      <c r="K5" s="2">
        <v>14</v>
      </c>
      <c r="L5" s="2">
        <v>18.5</v>
      </c>
      <c r="M5" s="2">
        <v>9</v>
      </c>
    </row>
    <row r="6" spans="1:13" ht="15.75" x14ac:dyDescent="0.25">
      <c r="A6" s="2">
        <v>5</v>
      </c>
      <c r="B6" s="6" t="s">
        <v>22</v>
      </c>
      <c r="C6" s="6" t="s">
        <v>23</v>
      </c>
      <c r="D6" s="2">
        <v>10.5</v>
      </c>
      <c r="E6" s="2">
        <v>14.5</v>
      </c>
      <c r="F6" s="2">
        <f>VLOOKUP(B6,[1]!Table10311[[REG. No]:[ENG]],5,0)</f>
        <v>14.5</v>
      </c>
      <c r="G6" s="2">
        <f>VLOOKUP(B6,[1]!Table10311[[REG. No]:[CITIZ]],6,0)</f>
        <v>15.5</v>
      </c>
      <c r="H6" s="2">
        <v>15</v>
      </c>
      <c r="I6" s="2">
        <f>VLOOKUP(B6,[1]!Table10311[[REG. No]:[FON]],8,0)</f>
        <v>13</v>
      </c>
      <c r="J6" s="2">
        <v>12.5</v>
      </c>
      <c r="K6" s="2">
        <v>8</v>
      </c>
      <c r="L6" s="2">
        <v>17</v>
      </c>
      <c r="M6" s="2">
        <v>9</v>
      </c>
    </row>
    <row r="7" spans="1:13" ht="15.75" x14ac:dyDescent="0.25">
      <c r="A7" s="2">
        <v>6</v>
      </c>
      <c r="B7" s="6" t="s">
        <v>24</v>
      </c>
      <c r="C7" s="6" t="s">
        <v>25</v>
      </c>
      <c r="D7" s="2">
        <v>15.5</v>
      </c>
      <c r="E7" s="2">
        <v>12.5</v>
      </c>
      <c r="F7" s="2">
        <f>VLOOKUP(B7,[1]!Table10311[[REG. No]:[ENG]],5,0)</f>
        <v>13</v>
      </c>
      <c r="G7" s="2">
        <f>VLOOKUP(B7,[1]!Table10311[[REG. No]:[CITIZ]],6,0)</f>
        <v>18</v>
      </c>
      <c r="H7" s="2">
        <v>11</v>
      </c>
      <c r="I7" s="2">
        <f>VLOOKUP(B7,[1]!Table10311[[REG. No]:[FON]],8,0)</f>
        <v>11.5</v>
      </c>
      <c r="J7" s="2">
        <v>12</v>
      </c>
      <c r="K7" s="2">
        <v>13</v>
      </c>
      <c r="L7" s="2">
        <v>16</v>
      </c>
      <c r="M7" s="2">
        <v>10</v>
      </c>
    </row>
    <row r="8" spans="1:13" ht="15.75" x14ac:dyDescent="0.25">
      <c r="A8" s="2">
        <v>7</v>
      </c>
      <c r="B8" s="6" t="s">
        <v>26</v>
      </c>
      <c r="C8" s="6" t="s">
        <v>27</v>
      </c>
      <c r="D8" s="2">
        <v>16.5</v>
      </c>
      <c r="E8" s="2">
        <v>17</v>
      </c>
      <c r="F8" s="2">
        <f>VLOOKUP(B8,[1]!Table10311[[REG. No]:[ENG]],5,0)</f>
        <v>15</v>
      </c>
      <c r="G8" s="2">
        <f>VLOOKUP(B8,[1]!Table10311[[REG. No]:[CITIZ]],6,0)</f>
        <v>12.5</v>
      </c>
      <c r="H8" s="2">
        <v>16.5</v>
      </c>
      <c r="I8" s="2">
        <f>VLOOKUP(B8,[1]!Table10311[[REG. No]:[FON]],8,0)</f>
        <v>15.5</v>
      </c>
      <c r="J8" s="2">
        <v>13.5</v>
      </c>
      <c r="K8" s="2">
        <v>15.5</v>
      </c>
      <c r="L8" s="2">
        <v>20</v>
      </c>
      <c r="M8" s="2">
        <v>9.5</v>
      </c>
    </row>
    <row r="9" spans="1:13" ht="15.75" x14ac:dyDescent="0.25">
      <c r="A9" s="2">
        <v>8</v>
      </c>
      <c r="B9" s="6" t="s">
        <v>28</v>
      </c>
      <c r="C9" s="6" t="s">
        <v>29</v>
      </c>
      <c r="D9" s="2">
        <v>14</v>
      </c>
      <c r="E9" s="2">
        <v>15.5</v>
      </c>
      <c r="F9" s="2">
        <f>VLOOKUP(B9,[1]!Table10311[[REG. No]:[ENG]],5,0)</f>
        <v>13.5</v>
      </c>
      <c r="G9" s="2">
        <f>VLOOKUP(B9,[1]!Table10311[[REG. No]:[CITIZ]],6,0)</f>
        <v>15</v>
      </c>
      <c r="H9" s="2">
        <v>15</v>
      </c>
      <c r="I9" s="2">
        <f>VLOOKUP(B9,[1]!Table10311[[REG. No]:[FON]],8,0)</f>
        <v>11</v>
      </c>
      <c r="J9" s="2">
        <v>14</v>
      </c>
      <c r="K9" s="2">
        <v>12</v>
      </c>
      <c r="L9" s="2">
        <v>16.5</v>
      </c>
      <c r="M9" s="2">
        <v>10</v>
      </c>
    </row>
    <row r="10" spans="1:13" ht="15.75" x14ac:dyDescent="0.25">
      <c r="A10" s="2">
        <v>9</v>
      </c>
      <c r="B10" s="6" t="s">
        <v>30</v>
      </c>
      <c r="C10" s="6" t="s">
        <v>31</v>
      </c>
      <c r="D10" s="2">
        <v>10</v>
      </c>
      <c r="E10" s="2">
        <v>13</v>
      </c>
      <c r="F10" s="2">
        <f>VLOOKUP(B10,[1]!Table10311[[REG. No]:[ENG]],5,0)</f>
        <v>14.5</v>
      </c>
      <c r="G10" s="2">
        <f>VLOOKUP(B10,[1]!Table10311[[REG. No]:[CITIZ]],6,0)</f>
        <v>13</v>
      </c>
      <c r="H10" s="2">
        <v>14</v>
      </c>
      <c r="I10" s="2">
        <f>VLOOKUP(B10,[1]!Table10311[[REG. No]:[FON]],8,0)</f>
        <v>10</v>
      </c>
      <c r="J10" s="2">
        <v>13</v>
      </c>
      <c r="K10" s="2">
        <v>7</v>
      </c>
      <c r="L10" s="2">
        <v>16.5</v>
      </c>
      <c r="M10" s="2">
        <v>12</v>
      </c>
    </row>
    <row r="11" spans="1:13" ht="15.75" x14ac:dyDescent="0.25">
      <c r="A11" s="2">
        <v>10</v>
      </c>
      <c r="B11" s="6" t="s">
        <v>32</v>
      </c>
      <c r="C11" s="6" t="s">
        <v>33</v>
      </c>
      <c r="D11" s="2">
        <v>9.5</v>
      </c>
      <c r="E11" s="2">
        <v>14</v>
      </c>
      <c r="F11" s="2">
        <f>VLOOKUP(B11,[1]!Table10311[[REG. No]:[ENG]],5,0)</f>
        <v>11</v>
      </c>
      <c r="G11" s="2">
        <f>VLOOKUP(B11,[1]!Table10311[[REG. No]:[CITIZ]],6,0)</f>
        <v>12</v>
      </c>
      <c r="H11" s="2">
        <v>11</v>
      </c>
      <c r="I11" s="2">
        <f>VLOOKUP(B11,[1]!Table10311[[REG. No]:[FON]],8,0)</f>
        <v>13</v>
      </c>
      <c r="J11" s="2">
        <v>11</v>
      </c>
      <c r="K11" s="2">
        <v>11</v>
      </c>
      <c r="L11" s="2">
        <v>15</v>
      </c>
      <c r="M11" s="2">
        <v>9.5</v>
      </c>
    </row>
    <row r="12" spans="1:13" ht="15.75" x14ac:dyDescent="0.25">
      <c r="A12" s="2">
        <v>11</v>
      </c>
      <c r="B12" s="6" t="s">
        <v>34</v>
      </c>
      <c r="C12" s="6" t="s">
        <v>35</v>
      </c>
      <c r="D12" s="2">
        <v>15.5</v>
      </c>
      <c r="E12" s="2">
        <v>15.5</v>
      </c>
      <c r="F12" s="2">
        <f>VLOOKUP(B12,[1]!Table10311[[REG. No]:[ENG]],5,0)</f>
        <v>12.5</v>
      </c>
      <c r="G12" s="2">
        <f>VLOOKUP(B12,[1]!Table10311[[REG. No]:[CITIZ]],6,0)</f>
        <v>14</v>
      </c>
      <c r="H12" s="2">
        <v>16</v>
      </c>
      <c r="I12" s="2">
        <f>VLOOKUP(B12,[1]!Table10311[[REG. No]:[FON]],8,0)</f>
        <v>13</v>
      </c>
      <c r="J12" s="2">
        <v>14.5</v>
      </c>
      <c r="K12" s="2">
        <v>15</v>
      </c>
      <c r="L12" s="2">
        <v>15.5</v>
      </c>
      <c r="M12" s="2">
        <v>8</v>
      </c>
    </row>
    <row r="13" spans="1:13" ht="15.75" x14ac:dyDescent="0.25">
      <c r="A13" s="2">
        <v>12</v>
      </c>
      <c r="B13" s="6" t="s">
        <v>36</v>
      </c>
      <c r="C13" s="6" t="s">
        <v>37</v>
      </c>
      <c r="D13" s="2">
        <v>11.5</v>
      </c>
      <c r="E13" s="2">
        <v>13</v>
      </c>
      <c r="F13" s="2">
        <f>VLOOKUP(B13,[1]!Table10311[[REG. No]:[ENG]],5,0)</f>
        <v>9.5</v>
      </c>
      <c r="G13" s="2">
        <f>VLOOKUP(B13,[1]!Table10311[[REG. No]:[CITIZ]],6,0)</f>
        <v>11</v>
      </c>
      <c r="H13" s="2">
        <v>12</v>
      </c>
      <c r="I13" s="2">
        <f>VLOOKUP(B13,[1]!Table10311[[REG. No]:[FON]],8,0)</f>
        <v>7.5</v>
      </c>
      <c r="J13" s="2">
        <v>11.5</v>
      </c>
      <c r="K13" s="2">
        <v>9</v>
      </c>
      <c r="L13" s="2">
        <v>11.5</v>
      </c>
      <c r="M13" s="2">
        <v>7.5</v>
      </c>
    </row>
    <row r="14" spans="1:13" ht="15.75" x14ac:dyDescent="0.25">
      <c r="A14" s="2">
        <v>13</v>
      </c>
      <c r="B14" s="6" t="s">
        <v>38</v>
      </c>
      <c r="C14" s="6" t="s">
        <v>39</v>
      </c>
      <c r="D14" s="2">
        <v>14.5</v>
      </c>
      <c r="E14" s="2">
        <v>12.5</v>
      </c>
      <c r="F14" s="2">
        <f>VLOOKUP(B14,[1]!Table10311[[REG. No]:[ENG]],5,0)</f>
        <v>13</v>
      </c>
      <c r="G14" s="2">
        <f>VLOOKUP(B14,[1]!Table10311[[REG. No]:[CITIZ]],6,0)</f>
        <v>14</v>
      </c>
      <c r="H14" s="2">
        <v>10.5</v>
      </c>
      <c r="I14" s="2">
        <f>VLOOKUP(B14,[1]!Table10311[[REG. No]:[FON]],8,0)</f>
        <v>12.5</v>
      </c>
      <c r="J14" s="2">
        <v>15</v>
      </c>
      <c r="K14" s="2">
        <v>11</v>
      </c>
      <c r="L14" s="2">
        <v>16.5</v>
      </c>
      <c r="M14" s="2">
        <v>11.5</v>
      </c>
    </row>
    <row r="15" spans="1:13" ht="15.75" x14ac:dyDescent="0.25">
      <c r="A15" s="2">
        <v>14</v>
      </c>
      <c r="B15" s="6" t="s">
        <v>40</v>
      </c>
      <c r="C15" s="6" t="s">
        <v>41</v>
      </c>
      <c r="D15" s="2">
        <v>12</v>
      </c>
      <c r="E15" s="2">
        <v>14</v>
      </c>
      <c r="F15" s="2">
        <f>VLOOKUP(B15,[1]!Table10311[[REG. No]:[ENG]],5,0)</f>
        <v>12.5</v>
      </c>
      <c r="G15" s="2">
        <f>VLOOKUP(B15,[1]!Table10311[[REG. No]:[CITIZ]],6,0)</f>
        <v>15.5</v>
      </c>
      <c r="H15" s="2">
        <v>11</v>
      </c>
      <c r="I15" s="2">
        <f>VLOOKUP(B15,[1]!Table10311[[REG. No]:[FON]],8,0)</f>
        <v>9</v>
      </c>
      <c r="J15" s="2">
        <v>10.5</v>
      </c>
      <c r="K15" s="2">
        <v>12.5</v>
      </c>
      <c r="L15" s="2">
        <v>15</v>
      </c>
      <c r="M15" s="2">
        <v>8.5</v>
      </c>
    </row>
    <row r="16" spans="1:13" ht="15.75" x14ac:dyDescent="0.25">
      <c r="A16" s="2">
        <v>15</v>
      </c>
      <c r="B16" s="6" t="s">
        <v>42</v>
      </c>
      <c r="C16" s="6" t="s">
        <v>43</v>
      </c>
      <c r="D16" s="2">
        <v>12.5</v>
      </c>
      <c r="E16" s="2">
        <v>12.5</v>
      </c>
      <c r="F16" s="2">
        <f>VLOOKUP(B16,[1]!Table10311[[REG. No]:[ENG]],5,0)</f>
        <v>14.5</v>
      </c>
      <c r="G16" s="2">
        <f>VLOOKUP(B16,[1]!Table10311[[REG. No]:[CITIZ]],6,0)</f>
        <v>10.5</v>
      </c>
      <c r="H16" s="2">
        <v>10.5</v>
      </c>
      <c r="I16" s="2">
        <f>VLOOKUP(B16,[1]!Table10311[[REG. No]:[FON]],8,0)</f>
        <v>9.5</v>
      </c>
      <c r="J16" s="2">
        <v>9.5</v>
      </c>
      <c r="K16" s="2">
        <v>9.5</v>
      </c>
      <c r="L16" s="2">
        <v>13.5</v>
      </c>
      <c r="M16" s="2">
        <v>7.5</v>
      </c>
    </row>
    <row r="17" spans="1:13" ht="15.75" x14ac:dyDescent="0.25">
      <c r="A17" s="2">
        <v>16</v>
      </c>
      <c r="B17" s="6" t="s">
        <v>44</v>
      </c>
      <c r="C17" s="6" t="s">
        <v>45</v>
      </c>
      <c r="D17" s="2">
        <v>12</v>
      </c>
      <c r="E17" s="2">
        <v>15</v>
      </c>
      <c r="F17" s="2">
        <f>VLOOKUP(B17,[1]!Table10311[[REG. No]:[ENG]],5,0)</f>
        <v>11.5</v>
      </c>
      <c r="G17" s="2">
        <f>VLOOKUP(B17,[1]!Table10311[[REG. No]:[CITIZ]],6,0)</f>
        <v>12.5</v>
      </c>
      <c r="H17" s="2">
        <v>13.5</v>
      </c>
      <c r="I17" s="2">
        <f>VLOOKUP(B17,[1]!Table10311[[REG. No]:[FON]],8,0)</f>
        <v>8</v>
      </c>
      <c r="J17" s="2">
        <v>11.5</v>
      </c>
      <c r="K17" s="2">
        <v>11.5</v>
      </c>
      <c r="L17" s="2">
        <v>12.5</v>
      </c>
      <c r="M17" s="2">
        <v>8</v>
      </c>
    </row>
    <row r="18" spans="1:13" ht="15.75" x14ac:dyDescent="0.25">
      <c r="A18" s="2">
        <v>17</v>
      </c>
      <c r="B18" s="6" t="s">
        <v>46</v>
      </c>
      <c r="C18" s="6" t="s">
        <v>47</v>
      </c>
      <c r="D18" s="2">
        <v>13.5</v>
      </c>
      <c r="E18" s="2">
        <v>13</v>
      </c>
      <c r="F18" s="2">
        <f>VLOOKUP(B18,[1]!Table10311[[REG. No]:[ENG]],5,0)</f>
        <v>14.5</v>
      </c>
      <c r="G18" s="2">
        <f>VLOOKUP(B18,[1]!Table10311[[REG. No]:[CITIZ]],6,0)</f>
        <v>15</v>
      </c>
      <c r="H18" s="2">
        <v>13</v>
      </c>
      <c r="I18" s="2">
        <f>VLOOKUP(B18,[1]!Table10311[[REG. No]:[FON]],8,0)</f>
        <v>10.5</v>
      </c>
      <c r="J18" s="2">
        <v>10.5</v>
      </c>
      <c r="K18" s="2">
        <v>14.5</v>
      </c>
      <c r="L18" s="2">
        <v>17</v>
      </c>
      <c r="M18" s="2">
        <v>10</v>
      </c>
    </row>
    <row r="19" spans="1:13" ht="15.75" x14ac:dyDescent="0.25">
      <c r="A19" s="2">
        <v>18</v>
      </c>
      <c r="B19" s="6" t="s">
        <v>48</v>
      </c>
      <c r="C19" s="6" t="s">
        <v>49</v>
      </c>
      <c r="D19" s="2">
        <v>7</v>
      </c>
      <c r="E19" s="2">
        <v>9</v>
      </c>
      <c r="F19" s="2">
        <f>VLOOKUP(B19,[1]!Table10311[[REG. No]:[ENG]],5,0)</f>
        <v>10</v>
      </c>
      <c r="G19" s="2">
        <f>VLOOKUP(B19,[1]!Table10311[[REG. No]:[CITIZ]],6,0)</f>
        <v>14</v>
      </c>
      <c r="H19" s="2">
        <v>6</v>
      </c>
      <c r="I19" s="2">
        <f>VLOOKUP(B19,[1]!Table10311[[REG. No]:[FON]],8,0)</f>
        <v>9.5</v>
      </c>
      <c r="J19" s="2">
        <v>8</v>
      </c>
      <c r="K19" s="2">
        <v>5.5</v>
      </c>
      <c r="L19" s="2">
        <v>11</v>
      </c>
      <c r="M19" s="2">
        <v>6</v>
      </c>
    </row>
    <row r="20" spans="1:13" ht="15.75" x14ac:dyDescent="0.25">
      <c r="A20" s="2">
        <v>19</v>
      </c>
      <c r="B20" s="6" t="s">
        <v>50</v>
      </c>
      <c r="C20" s="6" t="s">
        <v>51</v>
      </c>
      <c r="D20" s="2">
        <v>15</v>
      </c>
      <c r="E20" s="2">
        <v>15.5</v>
      </c>
      <c r="F20" s="2">
        <f>VLOOKUP(B20,[1]!Table10311[[REG. No]:[ENG]],5,0)</f>
        <v>14.5</v>
      </c>
      <c r="G20" s="2">
        <f>VLOOKUP(B20,[1]!Table10311[[REG. No]:[CITIZ]],6,0)</f>
        <v>14.5</v>
      </c>
      <c r="H20" s="2">
        <v>12.5</v>
      </c>
      <c r="I20" s="2">
        <f>VLOOKUP(B20,[1]!Table10311[[REG. No]:[FON]],8,0)</f>
        <v>10.5</v>
      </c>
      <c r="J20" s="2">
        <v>10.5</v>
      </c>
      <c r="K20" s="2">
        <v>15.5</v>
      </c>
      <c r="L20" s="2">
        <v>14.5</v>
      </c>
      <c r="M20" s="2">
        <v>9</v>
      </c>
    </row>
    <row r="21" spans="1:13" ht="15.75" x14ac:dyDescent="0.25">
      <c r="A21" s="2">
        <v>20</v>
      </c>
      <c r="B21" s="6" t="s">
        <v>52</v>
      </c>
      <c r="C21" s="6" t="s">
        <v>53</v>
      </c>
      <c r="D21" s="2">
        <v>13.5</v>
      </c>
      <c r="E21" s="2">
        <v>13.5</v>
      </c>
      <c r="F21" s="2">
        <f>VLOOKUP(B21,[1]!Table10311[[REG. No]:[ENG]],5,0)</f>
        <v>11</v>
      </c>
      <c r="G21" s="2">
        <f>VLOOKUP(B21,[1]!Table10311[[REG. No]:[CITIZ]],6,0)</f>
        <v>12.5</v>
      </c>
      <c r="H21" s="2">
        <v>11.5</v>
      </c>
      <c r="I21" s="2">
        <f>VLOOKUP(B21,[1]!Table10311[[REG. No]:[FON]],8,0)</f>
        <v>11</v>
      </c>
      <c r="J21" s="2">
        <v>11</v>
      </c>
      <c r="K21" s="2">
        <v>14.5</v>
      </c>
      <c r="L21" s="2">
        <v>15</v>
      </c>
      <c r="M21" s="2">
        <v>7</v>
      </c>
    </row>
    <row r="22" spans="1:13" ht="15.75" x14ac:dyDescent="0.25">
      <c r="A22" s="2">
        <v>21</v>
      </c>
      <c r="B22" s="6" t="s">
        <v>54</v>
      </c>
      <c r="C22" s="6" t="s">
        <v>55</v>
      </c>
      <c r="D22" s="2">
        <v>11.5</v>
      </c>
      <c r="E22" s="2">
        <v>14.5</v>
      </c>
      <c r="F22" s="2">
        <f>VLOOKUP(B22,[1]!Table10311[[REG. No]:[ENG]],5,0)</f>
        <v>14.5</v>
      </c>
      <c r="G22" s="2">
        <f>VLOOKUP(B22,[1]!Table10311[[REG. No]:[CITIZ]],6,0)</f>
        <v>12</v>
      </c>
      <c r="H22" s="2">
        <v>11</v>
      </c>
      <c r="I22" s="2">
        <f>VLOOKUP(B22,[1]!Table10311[[REG. No]:[FON]],8,0)</f>
        <v>8</v>
      </c>
      <c r="J22" s="2">
        <v>12</v>
      </c>
      <c r="K22" s="2">
        <v>11.5</v>
      </c>
      <c r="L22" s="2">
        <v>15</v>
      </c>
      <c r="M22" s="2">
        <v>8</v>
      </c>
    </row>
    <row r="23" spans="1:13" ht="15.75" x14ac:dyDescent="0.25">
      <c r="A23" s="2">
        <v>22</v>
      </c>
      <c r="B23" s="6" t="s">
        <v>56</v>
      </c>
      <c r="C23" s="6" t="s">
        <v>57</v>
      </c>
      <c r="D23" s="2">
        <v>13.5</v>
      </c>
      <c r="E23" s="2">
        <v>10.5</v>
      </c>
      <c r="F23" s="2">
        <f>VLOOKUP(B23,[1]!Table10311[[REG. No]:[ENG]],5,0)</f>
        <v>14</v>
      </c>
      <c r="G23" s="2">
        <f>VLOOKUP(B23,[1]!Table10311[[REG. No]:[CITIZ]],6,0)</f>
        <v>14.5</v>
      </c>
      <c r="H23" s="2">
        <v>11</v>
      </c>
      <c r="I23" s="2">
        <f>VLOOKUP(B23,[1]!Table10311[[REG. No]:[FON]],8,0)</f>
        <v>10</v>
      </c>
      <c r="J23" s="2">
        <v>15</v>
      </c>
      <c r="K23" s="2">
        <v>9</v>
      </c>
      <c r="L23" s="2">
        <v>17</v>
      </c>
      <c r="M23" s="2">
        <v>9.5</v>
      </c>
    </row>
    <row r="24" spans="1:13" ht="15.75" x14ac:dyDescent="0.25">
      <c r="A24" s="2">
        <v>23</v>
      </c>
      <c r="B24" s="6" t="s">
        <v>58</v>
      </c>
      <c r="C24" s="6" t="s">
        <v>59</v>
      </c>
      <c r="D24" s="2">
        <v>11</v>
      </c>
      <c r="E24" s="2">
        <v>11.5</v>
      </c>
      <c r="F24" s="2">
        <f>VLOOKUP(B24,[1]!Table10311[[REG. No]:[ENG]],5,0)</f>
        <v>11</v>
      </c>
      <c r="G24" s="2">
        <f>VLOOKUP(B24,[1]!Table10311[[REG. No]:[CITIZ]],6,0)</f>
        <v>12.5</v>
      </c>
      <c r="H24" s="2">
        <v>6</v>
      </c>
      <c r="I24" s="2">
        <f>VLOOKUP(B24,[1]!Table10311[[REG. No]:[FON]],8,0)</f>
        <v>6.5</v>
      </c>
      <c r="J24" s="2">
        <v>9</v>
      </c>
      <c r="K24" s="2">
        <v>10.5</v>
      </c>
      <c r="L24" s="2">
        <v>16</v>
      </c>
      <c r="M24" s="2">
        <v>7.5</v>
      </c>
    </row>
    <row r="25" spans="1:13" ht="15.75" x14ac:dyDescent="0.25">
      <c r="A25" s="2">
        <v>24</v>
      </c>
      <c r="B25" s="6" t="s">
        <v>60</v>
      </c>
      <c r="C25" s="6" t="s">
        <v>61</v>
      </c>
      <c r="D25" s="2">
        <v>15</v>
      </c>
      <c r="E25" s="2">
        <v>16</v>
      </c>
      <c r="F25" s="2">
        <f>VLOOKUP(B25,[1]!Table10311[[REG. No]:[ENG]],5,0)</f>
        <v>14</v>
      </c>
      <c r="G25" s="2">
        <f>VLOOKUP(B25,[1]!Table10311[[REG. No]:[CITIZ]],6,0)</f>
        <v>15</v>
      </c>
      <c r="H25" s="2">
        <v>11</v>
      </c>
      <c r="I25" s="2">
        <f>VLOOKUP(B25,[1]!Table10311[[REG. No]:[FON]],8,0)</f>
        <v>10</v>
      </c>
      <c r="J25" s="2">
        <v>12.5</v>
      </c>
      <c r="K25" s="2">
        <v>10.5</v>
      </c>
      <c r="L25" s="2">
        <v>15</v>
      </c>
      <c r="M25" s="2">
        <v>10</v>
      </c>
    </row>
    <row r="26" spans="1:13" ht="15.75" x14ac:dyDescent="0.25">
      <c r="A26" s="2">
        <v>25</v>
      </c>
      <c r="B26" s="6" t="s">
        <v>62</v>
      </c>
      <c r="C26" s="6" t="s">
        <v>63</v>
      </c>
      <c r="D26" s="2">
        <v>10</v>
      </c>
      <c r="E26" s="2">
        <v>14.5</v>
      </c>
      <c r="F26" s="2">
        <f>VLOOKUP(B26,[1]!Table10311[[REG. No]:[ENG]],5,0)</f>
        <v>13</v>
      </c>
      <c r="G26" s="2">
        <f>VLOOKUP(B26,[1]!Table10311[[REG. No]:[CITIZ]],6,0)</f>
        <v>10.5</v>
      </c>
      <c r="H26" s="2">
        <v>10.5</v>
      </c>
      <c r="I26" s="2">
        <f>VLOOKUP(B26,[1]!Table10311[[REG. No]:[FON]],8,0)</f>
        <v>9</v>
      </c>
      <c r="J26" s="2">
        <v>10.5</v>
      </c>
      <c r="K26" s="2">
        <v>10</v>
      </c>
      <c r="L26" s="2">
        <v>14</v>
      </c>
      <c r="M26" s="2">
        <v>8</v>
      </c>
    </row>
    <row r="27" spans="1:13" ht="15.75" x14ac:dyDescent="0.25">
      <c r="A27" s="2">
        <v>26</v>
      </c>
      <c r="B27" s="6" t="s">
        <v>64</v>
      </c>
      <c r="C27" s="6" t="s">
        <v>65</v>
      </c>
      <c r="D27" s="2">
        <v>7.5</v>
      </c>
      <c r="E27" s="2">
        <v>11</v>
      </c>
      <c r="F27" s="2">
        <f>VLOOKUP(B27,[1]!Table10311[[REG. No]:[ENG]],5,0)</f>
        <v>12.5</v>
      </c>
      <c r="G27" s="2">
        <f>VLOOKUP(B27,[1]!Table10311[[REG. No]:[CITIZ]],6,0)</f>
        <v>15</v>
      </c>
      <c r="H27" s="2">
        <v>6</v>
      </c>
      <c r="I27" s="2">
        <f>VLOOKUP(B27,[1]!Table10311[[REG. No]:[FON]],8,0)</f>
        <v>9</v>
      </c>
      <c r="J27" s="2">
        <v>11.5</v>
      </c>
      <c r="K27" s="2">
        <v>6.5</v>
      </c>
      <c r="L27" s="2">
        <v>12.5</v>
      </c>
      <c r="M27" s="2">
        <v>6</v>
      </c>
    </row>
    <row r="28" spans="1:13" ht="15.75" x14ac:dyDescent="0.25">
      <c r="A28" s="2">
        <v>27</v>
      </c>
      <c r="B28" s="6" t="s">
        <v>66</v>
      </c>
      <c r="C28" s="6" t="s">
        <v>67</v>
      </c>
      <c r="D28" s="2">
        <v>12</v>
      </c>
      <c r="E28" s="2">
        <v>14</v>
      </c>
      <c r="F28" s="2">
        <f>VLOOKUP(B28,[1]!Table10311[[REG. No]:[ENG]],5,0)</f>
        <v>10</v>
      </c>
      <c r="G28" s="2">
        <f>VLOOKUP(B28,[1]!Table10311[[REG. No]:[CITIZ]],6,0)</f>
        <v>15</v>
      </c>
      <c r="H28" s="2">
        <v>12</v>
      </c>
      <c r="I28" s="2">
        <f>VLOOKUP(B28,[1]!Table10311[[REG. No]:[FON]],8,0)</f>
        <v>10.5</v>
      </c>
      <c r="J28" s="2">
        <v>11.5</v>
      </c>
      <c r="K28" s="2">
        <v>12.5</v>
      </c>
      <c r="L28" s="2">
        <v>16</v>
      </c>
      <c r="M28" s="2">
        <v>8.5</v>
      </c>
    </row>
    <row r="29" spans="1:13" ht="15.75" x14ac:dyDescent="0.25">
      <c r="A29" s="2">
        <v>28</v>
      </c>
      <c r="B29" s="6" t="s">
        <v>68</v>
      </c>
      <c r="C29" s="6" t="s">
        <v>69</v>
      </c>
      <c r="D29" s="2">
        <v>14.5</v>
      </c>
      <c r="E29" s="2">
        <v>16</v>
      </c>
      <c r="F29" s="2">
        <f>VLOOKUP(B29,[1]!Table10311[[REG. No]:[ENG]],5,0)</f>
        <v>15</v>
      </c>
      <c r="G29" s="2">
        <f>VLOOKUP(B29,[1]!Table10311[[REG. No]:[CITIZ]],6,0)</f>
        <v>13.5</v>
      </c>
      <c r="H29" s="2">
        <v>14</v>
      </c>
      <c r="I29" s="2">
        <f>VLOOKUP(B29,[1]!Table10311[[REG. No]:[FON]],8,0)</f>
        <v>12</v>
      </c>
      <c r="J29" s="2">
        <v>17</v>
      </c>
      <c r="K29" s="2">
        <v>16</v>
      </c>
      <c r="L29" s="2">
        <v>15.5</v>
      </c>
      <c r="M29" s="2">
        <v>7.5</v>
      </c>
    </row>
    <row r="30" spans="1:13" ht="15.75" x14ac:dyDescent="0.25">
      <c r="A30" s="2">
        <v>29</v>
      </c>
      <c r="B30" s="6" t="s">
        <v>70</v>
      </c>
      <c r="C30" s="6" t="s">
        <v>71</v>
      </c>
      <c r="D30" s="2">
        <v>13</v>
      </c>
      <c r="E30" s="2">
        <v>16</v>
      </c>
      <c r="F30" s="2">
        <f>VLOOKUP(B30,[1]!Table10311[[REG. No]:[ENG]],5,0)</f>
        <v>16</v>
      </c>
      <c r="G30" s="2">
        <f>VLOOKUP(B30,[1]!Table10311[[REG. No]:[CITIZ]],6,0)</f>
        <v>13.5</v>
      </c>
      <c r="H30" s="2">
        <v>12</v>
      </c>
      <c r="I30" s="2">
        <f>VLOOKUP(B30,[1]!Table10311[[REG. No]:[FON]],8,0)</f>
        <v>11.5</v>
      </c>
      <c r="J30" s="2">
        <v>12.5</v>
      </c>
      <c r="K30" s="2">
        <v>13</v>
      </c>
      <c r="L30" s="2">
        <v>15</v>
      </c>
      <c r="M30" s="2">
        <v>9</v>
      </c>
    </row>
    <row r="31" spans="1:13" ht="15.75" x14ac:dyDescent="0.25">
      <c r="A31" s="2">
        <v>30</v>
      </c>
      <c r="B31" s="6" t="s">
        <v>72</v>
      </c>
      <c r="C31" s="6" t="s">
        <v>73</v>
      </c>
      <c r="D31" s="2">
        <v>17</v>
      </c>
      <c r="E31" s="2">
        <v>18</v>
      </c>
      <c r="F31" s="2">
        <f>VLOOKUP(B31,[1]!Table10311[[REG. No]:[ENG]],5,0)</f>
        <v>15.5</v>
      </c>
      <c r="G31" s="2">
        <f>VLOOKUP(B31,[1]!Table10311[[REG. No]:[CITIZ]],6,0)</f>
        <v>16</v>
      </c>
      <c r="H31" s="2">
        <v>17.5</v>
      </c>
      <c r="I31" s="2">
        <f>VLOOKUP(B31,[1]!Table10311[[REG. No]:[FON]],8,0)</f>
        <v>15</v>
      </c>
      <c r="J31" s="2">
        <v>16</v>
      </c>
      <c r="K31" s="2">
        <v>17.5</v>
      </c>
      <c r="L31" s="2">
        <v>19</v>
      </c>
      <c r="M31" s="2">
        <v>10</v>
      </c>
    </row>
    <row r="32" spans="1:13" ht="15.75" x14ac:dyDescent="0.25">
      <c r="A32" s="2">
        <v>31</v>
      </c>
      <c r="B32" s="6" t="s">
        <v>74</v>
      </c>
      <c r="C32" s="6" t="s">
        <v>75</v>
      </c>
      <c r="D32" s="2">
        <v>14</v>
      </c>
      <c r="E32" s="2">
        <v>15</v>
      </c>
      <c r="F32" s="2">
        <f>VLOOKUP(B32,[1]!Table10311[[REG. No]:[ENG]],5,0)</f>
        <v>15.5</v>
      </c>
      <c r="G32" s="2">
        <f>VLOOKUP(B32,[1]!Table10311[[REG. No]:[CITIZ]],6,0)</f>
        <v>15.5</v>
      </c>
      <c r="H32" s="2">
        <v>12</v>
      </c>
      <c r="I32" s="2">
        <f>VLOOKUP(B32,[1]!Table10311[[REG. No]:[FON]],8,0)</f>
        <v>8.5</v>
      </c>
      <c r="J32" s="2">
        <v>12.5</v>
      </c>
      <c r="K32" s="2">
        <v>9.5</v>
      </c>
      <c r="L32" s="2">
        <v>15</v>
      </c>
      <c r="M32" s="2">
        <v>8.5</v>
      </c>
    </row>
    <row r="33" spans="1:13" ht="15.75" x14ac:dyDescent="0.25">
      <c r="A33" s="2">
        <v>32</v>
      </c>
      <c r="B33" s="6" t="s">
        <v>76</v>
      </c>
      <c r="C33" s="6" t="s">
        <v>77</v>
      </c>
      <c r="D33" s="2">
        <v>11</v>
      </c>
      <c r="E33" s="2">
        <v>14</v>
      </c>
      <c r="F33" s="2">
        <f>VLOOKUP(B33,[1]!Table10311[[REG. No]:[ENG]],5,0)</f>
        <v>13</v>
      </c>
      <c r="G33" s="2">
        <f>VLOOKUP(B33,[1]!Table10311[[REG. No]:[CITIZ]],6,0)</f>
        <v>13</v>
      </c>
      <c r="H33" s="2">
        <v>11</v>
      </c>
      <c r="I33" s="2">
        <f>VLOOKUP(B33,[1]!Table10311[[REG. No]:[FON]],8,0)</f>
        <v>9</v>
      </c>
      <c r="J33" s="2">
        <v>11.5</v>
      </c>
      <c r="K33" s="2">
        <v>11</v>
      </c>
      <c r="L33" s="2">
        <v>12.5</v>
      </c>
      <c r="M33" s="2">
        <v>6</v>
      </c>
    </row>
    <row r="34" spans="1:13" ht="15.75" x14ac:dyDescent="0.25">
      <c r="A34" s="2">
        <v>33</v>
      </c>
      <c r="B34" s="6" t="s">
        <v>78</v>
      </c>
      <c r="C34" s="6" t="s">
        <v>79</v>
      </c>
      <c r="D34" s="2">
        <v>11.5</v>
      </c>
      <c r="E34" s="2">
        <v>12.5</v>
      </c>
      <c r="F34" s="2">
        <f>VLOOKUP(B34,[1]!Table10311[[REG. No]:[ENG]],5,0)</f>
        <v>13.5</v>
      </c>
      <c r="G34" s="2">
        <f>VLOOKUP(B34,[1]!Table10311[[REG. No]:[CITIZ]],6,0)</f>
        <v>13.5</v>
      </c>
      <c r="H34" s="2">
        <v>12.5</v>
      </c>
      <c r="I34" s="2">
        <f>VLOOKUP(B34,[1]!Table10311[[REG. No]:[FON]],8,0)</f>
        <v>11</v>
      </c>
      <c r="J34" s="2">
        <v>12</v>
      </c>
      <c r="K34" s="2">
        <v>11.5</v>
      </c>
      <c r="L34" s="2">
        <v>14.5</v>
      </c>
      <c r="M34" s="2">
        <v>9</v>
      </c>
    </row>
    <row r="35" spans="1:13" ht="15.75" x14ac:dyDescent="0.25">
      <c r="A35" s="2">
        <v>34</v>
      </c>
      <c r="B35" s="6" t="s">
        <v>80</v>
      </c>
      <c r="C35" s="6" t="s">
        <v>81</v>
      </c>
      <c r="D35" s="2">
        <v>10.5</v>
      </c>
      <c r="E35" s="2">
        <v>13.5</v>
      </c>
      <c r="F35" s="2">
        <f>VLOOKUP(B35,[1]!Table10311[[REG. No]:[ENG]],5,0)</f>
        <v>14</v>
      </c>
      <c r="G35" s="2">
        <f>VLOOKUP(B35,[1]!Table10311[[REG. No]:[CITIZ]],6,0)</f>
        <v>15</v>
      </c>
      <c r="H35" s="2">
        <v>12.5</v>
      </c>
      <c r="I35" s="2">
        <f>VLOOKUP(B35,[1]!Table10311[[REG. No]:[FON]],8,0)</f>
        <v>10</v>
      </c>
      <c r="J35" s="2">
        <v>10.5</v>
      </c>
      <c r="K35" s="2">
        <v>8.5</v>
      </c>
      <c r="L35" s="2">
        <v>16</v>
      </c>
      <c r="M35" s="2">
        <v>6.5</v>
      </c>
    </row>
    <row r="36" spans="1:13" ht="15.75" x14ac:dyDescent="0.25">
      <c r="A36" s="2">
        <v>35</v>
      </c>
      <c r="B36" s="6" t="s">
        <v>82</v>
      </c>
      <c r="C36" s="6" t="s">
        <v>83</v>
      </c>
      <c r="D36" s="2">
        <v>17.5</v>
      </c>
      <c r="E36" s="2">
        <v>16.5</v>
      </c>
      <c r="F36" s="2">
        <f>VLOOKUP(B36,[1]!Table10311[[REG. No]:[ENG]],5,0)</f>
        <v>15.5</v>
      </c>
      <c r="G36" s="2">
        <f>VLOOKUP(B36,[1]!Table10311[[REG. No]:[CITIZ]],6,0)</f>
        <v>16.5</v>
      </c>
      <c r="H36" s="2">
        <v>15.5</v>
      </c>
      <c r="I36" s="2">
        <f>VLOOKUP(B36,[1]!Table10311[[REG. No]:[FON]],8,0)</f>
        <v>15.5</v>
      </c>
      <c r="J36" s="2">
        <v>16.5</v>
      </c>
      <c r="K36" s="2">
        <v>17.5</v>
      </c>
      <c r="L36" s="2">
        <v>17.5</v>
      </c>
      <c r="M36" s="2">
        <v>12</v>
      </c>
    </row>
    <row r="37" spans="1:13" ht="15.75" x14ac:dyDescent="0.25">
      <c r="A37" s="2">
        <v>36</v>
      </c>
      <c r="B37" s="6" t="s">
        <v>84</v>
      </c>
      <c r="C37" s="6" t="s">
        <v>85</v>
      </c>
      <c r="D37" s="2">
        <v>18</v>
      </c>
      <c r="E37" s="2">
        <v>17</v>
      </c>
      <c r="F37" s="2">
        <f>VLOOKUP(B37,[1]!Table10311[[REG. No]:[ENG]],5,0)</f>
        <v>14.5</v>
      </c>
      <c r="G37" s="2">
        <f>VLOOKUP(B37,[1]!Table10311[[REG. No]:[CITIZ]],6,0)</f>
        <v>16</v>
      </c>
      <c r="H37" s="2">
        <v>16.5</v>
      </c>
      <c r="I37" s="2">
        <f>VLOOKUP(B37,[1]!Table10311[[REG. No]:[FON]],8,0)</f>
        <v>13.5</v>
      </c>
      <c r="J37" s="2">
        <v>16</v>
      </c>
      <c r="K37" s="2">
        <v>17.5</v>
      </c>
      <c r="L37" s="2">
        <v>18</v>
      </c>
      <c r="M37" s="2">
        <v>10</v>
      </c>
    </row>
    <row r="38" spans="1:13" ht="15.75" x14ac:dyDescent="0.25">
      <c r="A38" s="2">
        <v>37</v>
      </c>
      <c r="B38" s="6" t="s">
        <v>86</v>
      </c>
      <c r="C38" s="6" t="s">
        <v>87</v>
      </c>
      <c r="D38" s="2">
        <v>15.5</v>
      </c>
      <c r="E38" s="2">
        <v>16</v>
      </c>
      <c r="F38" s="2">
        <f>VLOOKUP(B38,[1]!Table10311[[REG. No]:[ENG]],5,0)</f>
        <v>14.5</v>
      </c>
      <c r="G38" s="2">
        <f>VLOOKUP(B38,[1]!Table10311[[REG. No]:[CITIZ]],6,0)</f>
        <v>16</v>
      </c>
      <c r="H38" s="2">
        <v>15</v>
      </c>
      <c r="I38" s="2">
        <f>VLOOKUP(B38,[1]!Table10311[[REG. No]:[FON]],8,0)</f>
        <v>11.5</v>
      </c>
      <c r="J38" s="2">
        <v>12.5</v>
      </c>
      <c r="K38" s="2">
        <v>12</v>
      </c>
      <c r="L38" s="2">
        <v>16.5</v>
      </c>
      <c r="M38" s="2">
        <v>8.5</v>
      </c>
    </row>
    <row r="39" spans="1:13" ht="15.75" x14ac:dyDescent="0.25">
      <c r="A39" s="2">
        <v>38</v>
      </c>
      <c r="B39" s="6" t="s">
        <v>88</v>
      </c>
      <c r="C39" s="6" t="s">
        <v>89</v>
      </c>
      <c r="D39" s="2">
        <v>12</v>
      </c>
      <c r="E39" s="2">
        <v>14.5</v>
      </c>
      <c r="F39" s="2">
        <f>VLOOKUP(B39,[1]!Table10311[[REG. No]:[ENG]],5,0)</f>
        <v>14.5</v>
      </c>
      <c r="G39" s="2">
        <f>VLOOKUP(B39,[1]!Table10311[[REG. No]:[CITIZ]],6,0)</f>
        <v>15</v>
      </c>
      <c r="H39" s="2">
        <v>14</v>
      </c>
      <c r="I39" s="2">
        <f>VLOOKUP(B39,[1]!Table10311[[REG. No]:[FON]],8,0)</f>
        <v>10</v>
      </c>
      <c r="J39" s="2">
        <v>13</v>
      </c>
      <c r="K39" s="2">
        <v>10.5</v>
      </c>
      <c r="L39" s="2">
        <v>16</v>
      </c>
      <c r="M39" s="2">
        <v>8</v>
      </c>
    </row>
    <row r="40" spans="1:13" ht="15.75" x14ac:dyDescent="0.25">
      <c r="A40" s="2">
        <v>39</v>
      </c>
      <c r="B40" s="6" t="s">
        <v>90</v>
      </c>
      <c r="C40" s="6" t="s">
        <v>91</v>
      </c>
      <c r="D40" s="2">
        <v>10</v>
      </c>
      <c r="E40" s="2">
        <v>16</v>
      </c>
      <c r="F40" s="2">
        <f>VLOOKUP(B40,[1]!Table10311[[REG. No]:[ENG]],5,0)</f>
        <v>11.5</v>
      </c>
      <c r="G40" s="2">
        <f>VLOOKUP(B40,[1]!Table10311[[REG. No]:[CITIZ]],6,0)</f>
        <v>14</v>
      </c>
      <c r="H40" s="2">
        <v>12</v>
      </c>
      <c r="I40" s="2">
        <f>VLOOKUP(B40,[1]!Table10311[[REG. No]:[FON]],8,0)</f>
        <v>11.5</v>
      </c>
      <c r="J40" s="2">
        <v>13.5</v>
      </c>
      <c r="K40" s="2">
        <v>11.5</v>
      </c>
      <c r="L40" s="2">
        <v>16</v>
      </c>
      <c r="M40" s="2">
        <v>8.5</v>
      </c>
    </row>
    <row r="41" spans="1:13" ht="15.75" x14ac:dyDescent="0.25">
      <c r="A41" s="2">
        <v>40</v>
      </c>
      <c r="B41" s="6" t="s">
        <v>92</v>
      </c>
      <c r="C41" s="6" t="s">
        <v>93</v>
      </c>
      <c r="D41" s="2">
        <v>15.5</v>
      </c>
      <c r="E41" s="2">
        <v>15.5</v>
      </c>
      <c r="F41" s="2">
        <f>VLOOKUP(B41,[1]!Table10311[[REG. No]:[ENG]],5,0)</f>
        <v>14</v>
      </c>
      <c r="G41" s="2">
        <f>VLOOKUP(B41,[1]!Table10311[[REG. No]:[CITIZ]],6,0)</f>
        <v>13.5</v>
      </c>
      <c r="H41" s="2">
        <v>15.5</v>
      </c>
      <c r="I41" s="2">
        <f>VLOOKUP(B41,[1]!Table10311[[REG. No]:[FON]],8,0)</f>
        <v>12</v>
      </c>
      <c r="J41" s="2">
        <v>15.5</v>
      </c>
      <c r="K41" s="2">
        <v>15</v>
      </c>
      <c r="L41" s="2">
        <v>15.5</v>
      </c>
      <c r="M41" s="2">
        <v>10</v>
      </c>
    </row>
    <row r="42" spans="1:13" ht="15.75" x14ac:dyDescent="0.25">
      <c r="A42" s="2">
        <v>41</v>
      </c>
      <c r="B42" s="6" t="s">
        <v>94</v>
      </c>
      <c r="C42" s="6" t="s">
        <v>95</v>
      </c>
      <c r="D42" s="2">
        <v>17</v>
      </c>
      <c r="E42" s="2">
        <v>15.5</v>
      </c>
      <c r="F42" s="2">
        <f>VLOOKUP(B42,[1]!Table10311[[REG. No]:[ENG]],5,0)</f>
        <v>15</v>
      </c>
      <c r="G42" s="2">
        <f>VLOOKUP(B42,[1]!Table10311[[REG. No]:[CITIZ]],6,0)</f>
        <v>16</v>
      </c>
      <c r="H42" s="2">
        <v>16</v>
      </c>
      <c r="I42" s="2">
        <f>VLOOKUP(B42,[1]!Table10311[[REG. No]:[FON]],8,0)</f>
        <v>15</v>
      </c>
      <c r="J42" s="2">
        <v>18.5</v>
      </c>
      <c r="K42" s="2">
        <v>15.5</v>
      </c>
      <c r="L42" s="2">
        <v>18</v>
      </c>
      <c r="M42" s="2">
        <v>3.5</v>
      </c>
    </row>
    <row r="43" spans="1:13" ht="15.75" x14ac:dyDescent="0.25">
      <c r="A43" s="2">
        <v>42</v>
      </c>
      <c r="B43" s="6" t="s">
        <v>96</v>
      </c>
      <c r="C43" s="6" t="s">
        <v>97</v>
      </c>
      <c r="D43" s="2">
        <v>14</v>
      </c>
      <c r="E43" s="2">
        <v>13</v>
      </c>
      <c r="F43" s="2">
        <f>VLOOKUP(B43,[1]!Table10311[[REG. No]:[ENG]],5,0)</f>
        <v>11.5</v>
      </c>
      <c r="G43" s="2">
        <f>VLOOKUP(B43,[1]!Table10311[[REG. No]:[CITIZ]],6,0)</f>
        <v>14</v>
      </c>
      <c r="H43" s="2">
        <v>10.5</v>
      </c>
      <c r="I43" s="2">
        <f>VLOOKUP(B43,[1]!Table10311[[REG. No]:[FON]],8,0)</f>
        <v>9</v>
      </c>
      <c r="J43" s="2">
        <v>14.5</v>
      </c>
      <c r="K43" s="2">
        <v>12</v>
      </c>
      <c r="L43" s="2">
        <v>16</v>
      </c>
      <c r="M43" s="2">
        <v>7.5</v>
      </c>
    </row>
    <row r="44" spans="1:13" ht="15.75" x14ac:dyDescent="0.25">
      <c r="A44" s="2">
        <v>43</v>
      </c>
      <c r="B44" s="6" t="s">
        <v>98</v>
      </c>
      <c r="C44" s="6" t="s">
        <v>99</v>
      </c>
      <c r="D44" s="2">
        <v>13.5</v>
      </c>
      <c r="E44" s="2">
        <v>14</v>
      </c>
      <c r="F44" s="2">
        <f>VLOOKUP(B44,[1]!Table10311[[REG. No]:[ENG]],5,0)</f>
        <v>11.5</v>
      </c>
      <c r="G44" s="2">
        <f>VLOOKUP(B44,[1]!Table10311[[REG. No]:[CITIZ]],6,0)</f>
        <v>15</v>
      </c>
      <c r="H44" s="2">
        <v>9.5</v>
      </c>
      <c r="I44" s="2">
        <f>VLOOKUP(B44,[1]!Table10311[[REG. No]:[FON]],8,0)</f>
        <v>13</v>
      </c>
      <c r="J44" s="2">
        <v>10.5</v>
      </c>
      <c r="K44" s="2">
        <v>13.5</v>
      </c>
      <c r="L44" s="2">
        <v>16.5</v>
      </c>
      <c r="M44" s="2">
        <v>9.5</v>
      </c>
    </row>
    <row r="45" spans="1:13" ht="15.75" x14ac:dyDescent="0.25">
      <c r="A45" s="2">
        <v>44</v>
      </c>
      <c r="B45" s="6" t="s">
        <v>100</v>
      </c>
      <c r="C45" s="6" t="s">
        <v>101</v>
      </c>
      <c r="D45" s="2">
        <v>15</v>
      </c>
      <c r="E45" s="2">
        <v>16</v>
      </c>
      <c r="F45" s="2">
        <f>VLOOKUP(B45,[1]!Table10311[[REG. No]:[ENG]],5,0)</f>
        <v>14.5</v>
      </c>
      <c r="G45" s="2">
        <f>VLOOKUP(B45,[1]!Table10311[[REG. No]:[CITIZ]],6,0)</f>
        <v>15.5</v>
      </c>
      <c r="H45" s="2">
        <v>12.5</v>
      </c>
      <c r="I45" s="2">
        <f>VLOOKUP(B45,[1]!Table10311[[REG. No]:[FON]],8,0)</f>
        <v>14</v>
      </c>
      <c r="J45" s="2">
        <v>15</v>
      </c>
      <c r="K45" s="2">
        <v>11.5</v>
      </c>
      <c r="L45" s="2">
        <v>16.5</v>
      </c>
      <c r="M45" s="2">
        <v>4.5</v>
      </c>
    </row>
    <row r="46" spans="1:13" ht="15.75" x14ac:dyDescent="0.25">
      <c r="A46" s="2">
        <v>45</v>
      </c>
      <c r="B46" s="6" t="s">
        <v>102</v>
      </c>
      <c r="C46" s="6" t="s">
        <v>103</v>
      </c>
      <c r="D46" s="2">
        <v>9.5</v>
      </c>
      <c r="E46" s="2">
        <v>14.5</v>
      </c>
      <c r="F46" s="2">
        <f>VLOOKUP(B46,[1]!Table10311[[REG. No]:[ENG]],5,0)</f>
        <v>14</v>
      </c>
      <c r="G46" s="2">
        <f>VLOOKUP(B46,[1]!Table10311[[REG. No]:[CITIZ]],6,0)</f>
        <v>11</v>
      </c>
      <c r="H46" s="2">
        <v>11</v>
      </c>
      <c r="I46" s="2">
        <f>VLOOKUP(B46,[1]!Table10311[[REG. No]:[FON]],8,0)</f>
        <v>8</v>
      </c>
      <c r="J46" s="2">
        <v>10.5</v>
      </c>
      <c r="K46" s="2">
        <v>9.5</v>
      </c>
      <c r="L46" s="2">
        <v>12</v>
      </c>
      <c r="M46" s="2">
        <v>8</v>
      </c>
    </row>
    <row r="47" spans="1:13" ht="15.75" x14ac:dyDescent="0.25">
      <c r="A47" s="2">
        <v>46</v>
      </c>
      <c r="B47" s="6" t="s">
        <v>104</v>
      </c>
      <c r="C47" s="6" t="s">
        <v>105</v>
      </c>
      <c r="D47" s="2">
        <v>6</v>
      </c>
      <c r="E47" s="2">
        <v>12</v>
      </c>
      <c r="F47" s="2">
        <f>VLOOKUP(B47,[1]!Table10311[[REG. No]:[ENG]],5,0)</f>
        <v>13</v>
      </c>
      <c r="G47" s="2">
        <f>VLOOKUP(B47,[1]!Table10311[[REG. No]:[CITIZ]],6,0)</f>
        <v>13</v>
      </c>
      <c r="H47" s="2">
        <v>9.5</v>
      </c>
      <c r="I47" s="2">
        <f>VLOOKUP(B47,[1]!Table10311[[REG. No]:[FON]],8,0)</f>
        <v>9</v>
      </c>
      <c r="J47" s="2">
        <v>13.5</v>
      </c>
      <c r="K47" s="2">
        <v>10</v>
      </c>
      <c r="L47" s="2">
        <v>14</v>
      </c>
      <c r="M47" s="2">
        <v>4.5</v>
      </c>
    </row>
    <row r="48" spans="1:13" ht="15.75" x14ac:dyDescent="0.25">
      <c r="A48" s="2">
        <v>47</v>
      </c>
      <c r="B48" s="6" t="s">
        <v>106</v>
      </c>
      <c r="C48" s="6" t="s">
        <v>107</v>
      </c>
      <c r="D48" s="2">
        <v>9</v>
      </c>
      <c r="E48" s="2">
        <v>10.5</v>
      </c>
      <c r="F48" s="2">
        <f>VLOOKUP(B48,[1]!Table10311[[REG. No]:[ENG]],5,0)</f>
        <v>9.5</v>
      </c>
      <c r="G48" s="2">
        <f>VLOOKUP(B48,[1]!Table10311[[REG. No]:[CITIZ]],6,0)</f>
        <v>12.5</v>
      </c>
      <c r="H48" s="2">
        <v>10.5</v>
      </c>
      <c r="I48" s="2">
        <f>VLOOKUP(B48,[1]!Table10311[[REG. No]:[FON]],8,0)</f>
        <v>9</v>
      </c>
      <c r="J48" s="2">
        <v>9</v>
      </c>
      <c r="K48" s="2">
        <v>4</v>
      </c>
      <c r="L48" s="2">
        <v>10.5</v>
      </c>
      <c r="M48" s="2">
        <v>8</v>
      </c>
    </row>
    <row r="49" spans="1:13" ht="15.75" x14ac:dyDescent="0.25">
      <c r="A49" s="2">
        <v>48</v>
      </c>
      <c r="B49" s="6" t="s">
        <v>108</v>
      </c>
      <c r="C49" s="6" t="s">
        <v>109</v>
      </c>
      <c r="D49" s="2">
        <v>13.5</v>
      </c>
      <c r="E49" s="2">
        <v>18.5</v>
      </c>
      <c r="F49" s="2">
        <f>VLOOKUP(B49,[1]!Table10311[[REG. No]:[ENG]],5,0)</f>
        <v>15</v>
      </c>
      <c r="G49" s="2">
        <f>VLOOKUP(B49,[1]!Table10311[[REG. No]:[CITIZ]],6,0)</f>
        <v>17</v>
      </c>
      <c r="H49" s="2">
        <v>10.5</v>
      </c>
      <c r="I49" s="2">
        <f>VLOOKUP(B49,[1]!Table10311[[REG. No]:[FON]],8,0)</f>
        <v>10.5</v>
      </c>
      <c r="J49" s="2">
        <v>13</v>
      </c>
      <c r="K49" s="2">
        <v>10.5</v>
      </c>
      <c r="L49" s="2">
        <v>18</v>
      </c>
      <c r="M49" s="2">
        <v>10</v>
      </c>
    </row>
    <row r="50" spans="1:13" ht="15.75" x14ac:dyDescent="0.25">
      <c r="A50" s="2">
        <v>49</v>
      </c>
      <c r="B50" s="6" t="s">
        <v>110</v>
      </c>
      <c r="C50" s="6" t="s">
        <v>111</v>
      </c>
      <c r="D50" s="2">
        <v>7.5</v>
      </c>
      <c r="E50" s="2">
        <v>12</v>
      </c>
      <c r="F50" s="2">
        <f>VLOOKUP(B50,[1]!Table10311[[REG. No]:[ENG]],5,0)</f>
        <v>13</v>
      </c>
      <c r="G50" s="2">
        <f>VLOOKUP(B50,[1]!Table10311[[REG. No]:[CITIZ]],6,0)</f>
        <v>13.5</v>
      </c>
      <c r="H50" s="2">
        <v>8.5</v>
      </c>
      <c r="I50" s="2">
        <f>VLOOKUP(B50,[1]!Table10311[[REG. No]:[FON]],8,0)</f>
        <v>8</v>
      </c>
      <c r="J50" s="2">
        <v>8</v>
      </c>
      <c r="K50" s="2">
        <v>12</v>
      </c>
      <c r="L50" s="2">
        <v>11.5</v>
      </c>
      <c r="M50" s="2">
        <v>10</v>
      </c>
    </row>
    <row r="51" spans="1:13" ht="15.75" x14ac:dyDescent="0.25">
      <c r="A51" s="2">
        <v>50</v>
      </c>
      <c r="B51" s="6" t="s">
        <v>112</v>
      </c>
      <c r="C51" s="6" t="s">
        <v>113</v>
      </c>
      <c r="D51" s="2">
        <v>8.5</v>
      </c>
      <c r="E51" s="2">
        <v>12.5</v>
      </c>
      <c r="F51" s="2">
        <f>VLOOKUP(B51,[1]!Table10311[[REG. No]:[ENG]],5,0)</f>
        <v>12.5</v>
      </c>
      <c r="G51" s="2">
        <f>VLOOKUP(B51,[1]!Table10311[[REG. No]:[CITIZ]],6,0)</f>
        <v>11</v>
      </c>
      <c r="H51" s="2">
        <v>9</v>
      </c>
      <c r="I51" s="2">
        <f>VLOOKUP(B51,[1]!Table10311[[REG. No]:[FON]],8,0)</f>
        <v>6.5</v>
      </c>
      <c r="J51" s="2">
        <v>10.5</v>
      </c>
      <c r="K51" s="2">
        <v>9.5</v>
      </c>
      <c r="L51" s="2">
        <v>13.5</v>
      </c>
      <c r="M51" s="2">
        <v>6</v>
      </c>
    </row>
    <row r="52" spans="1:13" ht="15.75" x14ac:dyDescent="0.25">
      <c r="A52" s="2">
        <v>51</v>
      </c>
      <c r="B52" s="6" t="s">
        <v>114</v>
      </c>
      <c r="C52" s="6" t="s">
        <v>115</v>
      </c>
      <c r="D52" s="2">
        <v>12.5</v>
      </c>
      <c r="E52" s="2">
        <v>12</v>
      </c>
      <c r="F52" s="2">
        <f>VLOOKUP(B52,[1]!Table10311[[REG. No]:[ENG]],5,0)</f>
        <v>14.5</v>
      </c>
      <c r="G52" s="2">
        <f>VLOOKUP(B52,[1]!Table10311[[REG. No]:[CITIZ]],6,0)</f>
        <v>16.5</v>
      </c>
      <c r="H52" s="2">
        <v>11</v>
      </c>
      <c r="I52" s="2">
        <f>VLOOKUP(B52,[1]!Table10311[[REG. No]:[FON]],8,0)</f>
        <v>12</v>
      </c>
      <c r="J52" s="2">
        <v>14</v>
      </c>
      <c r="K52" s="2">
        <v>9.5</v>
      </c>
      <c r="L52" s="2">
        <v>17.5</v>
      </c>
      <c r="M52" s="2">
        <v>10</v>
      </c>
    </row>
    <row r="53" spans="1:13" ht="15.75" x14ac:dyDescent="0.25">
      <c r="A53" s="2">
        <v>52</v>
      </c>
      <c r="B53" s="6" t="s">
        <v>116</v>
      </c>
      <c r="C53" s="6" t="s">
        <v>117</v>
      </c>
      <c r="D53" s="2">
        <v>13.5</v>
      </c>
      <c r="E53" s="2">
        <v>13</v>
      </c>
      <c r="F53" s="2">
        <f>VLOOKUP(B53,[1]!Table10311[[REG. No]:[ENG]],5,0)</f>
        <v>13.5</v>
      </c>
      <c r="G53" s="2">
        <f>VLOOKUP(B53,[1]!Table10311[[REG. No]:[CITIZ]],6,0)</f>
        <v>16</v>
      </c>
      <c r="H53" s="2">
        <v>11.5</v>
      </c>
      <c r="I53" s="2">
        <f>VLOOKUP(B53,[1]!Table10311[[REG. No]:[FON]],8,0)</f>
        <v>12</v>
      </c>
      <c r="J53" s="2">
        <v>13.5</v>
      </c>
      <c r="K53" s="2">
        <v>9.5</v>
      </c>
      <c r="L53" s="2">
        <v>16.5</v>
      </c>
      <c r="M53" s="2">
        <v>6.5</v>
      </c>
    </row>
    <row r="54" spans="1:13" ht="15.75" x14ac:dyDescent="0.25">
      <c r="A54" s="2">
        <v>53</v>
      </c>
      <c r="B54" s="6" t="s">
        <v>118</v>
      </c>
      <c r="C54" s="6" t="s">
        <v>119</v>
      </c>
      <c r="D54" s="2">
        <v>13.5</v>
      </c>
      <c r="E54" s="2">
        <v>15.5</v>
      </c>
      <c r="F54" s="2">
        <f>VLOOKUP(B54,[1]!Table10311[[REG. No]:[ENG]],5,0)</f>
        <v>15</v>
      </c>
      <c r="G54" s="2">
        <f>VLOOKUP(B54,[1]!Table10311[[REG. No]:[CITIZ]],6,0)</f>
        <v>16.5</v>
      </c>
      <c r="H54" s="2">
        <v>13.5</v>
      </c>
      <c r="I54" s="2">
        <f>VLOOKUP(B54,[1]!Table10311[[REG. No]:[FON]],8,0)</f>
        <v>12</v>
      </c>
      <c r="J54" s="2">
        <v>14.5</v>
      </c>
      <c r="K54" s="2">
        <v>13.5</v>
      </c>
      <c r="L54" s="2">
        <v>16.5</v>
      </c>
      <c r="M54" s="2">
        <v>5</v>
      </c>
    </row>
    <row r="55" spans="1:13" ht="15.75" x14ac:dyDescent="0.25">
      <c r="A55" s="2">
        <v>54</v>
      </c>
      <c r="B55" s="6" t="s">
        <v>120</v>
      </c>
      <c r="C55" s="6" t="s">
        <v>121</v>
      </c>
      <c r="D55" s="2">
        <v>7.5</v>
      </c>
      <c r="E55" s="2">
        <v>11</v>
      </c>
      <c r="F55" s="2">
        <f>VLOOKUP(B55,[1]!Table10311[[REG. No]:[ENG]],5,0)</f>
        <v>10</v>
      </c>
      <c r="G55" s="2">
        <f>VLOOKUP(B55,[1]!Table10311[[REG. No]:[CITIZ]],6,0)</f>
        <v>10.5</v>
      </c>
      <c r="H55" s="2">
        <v>10</v>
      </c>
      <c r="I55" s="2">
        <f>VLOOKUP(B55,[1]!Table10311[[REG. No]:[FON]],8,0)</f>
        <v>8</v>
      </c>
      <c r="J55" s="2">
        <v>8</v>
      </c>
      <c r="K55" s="2">
        <v>7.5</v>
      </c>
      <c r="L55" s="2">
        <v>16.5</v>
      </c>
      <c r="M55" s="2">
        <v>8</v>
      </c>
    </row>
    <row r="56" spans="1:13" ht="15.75" x14ac:dyDescent="0.25">
      <c r="A56" s="2">
        <v>55</v>
      </c>
      <c r="B56" s="6" t="s">
        <v>122</v>
      </c>
      <c r="C56" s="6" t="s">
        <v>123</v>
      </c>
      <c r="D56" s="2">
        <v>13.5</v>
      </c>
      <c r="E56" s="2">
        <v>13</v>
      </c>
      <c r="F56" s="2">
        <f>VLOOKUP(B56,[1]!Table10311[[REG. No]:[ENG]],5,0)</f>
        <v>13.5</v>
      </c>
      <c r="G56" s="2">
        <f>VLOOKUP(B56,[1]!Table10311[[REG. No]:[CITIZ]],6,0)</f>
        <v>15</v>
      </c>
      <c r="H56" s="2">
        <v>12</v>
      </c>
      <c r="I56" s="2">
        <f>VLOOKUP(B56,[1]!Table10311[[REG. No]:[FON]],8,0)</f>
        <v>11.5</v>
      </c>
      <c r="J56" s="2">
        <v>12.5</v>
      </c>
      <c r="K56" s="2">
        <v>14</v>
      </c>
      <c r="L56" s="2">
        <v>14</v>
      </c>
      <c r="M56" s="2">
        <v>8.5</v>
      </c>
    </row>
    <row r="57" spans="1:13" ht="15.75" x14ac:dyDescent="0.25">
      <c r="A57" s="2">
        <v>56</v>
      </c>
      <c r="B57" s="6" t="s">
        <v>124</v>
      </c>
      <c r="C57" s="6" t="s">
        <v>125</v>
      </c>
      <c r="D57" s="2">
        <v>17</v>
      </c>
      <c r="E57" s="2">
        <v>18</v>
      </c>
      <c r="F57" s="2">
        <f>VLOOKUP(B57,[1]!Table10311[[REG. No]:[ENG]],5,0)</f>
        <v>15.5</v>
      </c>
      <c r="G57" s="2">
        <f>VLOOKUP(B57,[1]!Table10311[[REG. No]:[CITIZ]],6,0)</f>
        <v>16</v>
      </c>
      <c r="H57" s="2">
        <v>17</v>
      </c>
      <c r="I57" s="2">
        <f>VLOOKUP(B57,[1]!Table10311[[REG. No]:[FON]],8,0)</f>
        <v>14.5</v>
      </c>
      <c r="J57" s="2">
        <v>17</v>
      </c>
      <c r="K57" s="2">
        <v>14.5</v>
      </c>
      <c r="L57" s="2">
        <v>15.5</v>
      </c>
      <c r="M57" s="2">
        <v>11.5</v>
      </c>
    </row>
    <row r="58" spans="1:13" ht="15.75" x14ac:dyDescent="0.25">
      <c r="A58" s="2">
        <v>57</v>
      </c>
      <c r="B58" s="6" t="s">
        <v>126</v>
      </c>
      <c r="C58" s="6" t="s">
        <v>127</v>
      </c>
      <c r="D58" s="2">
        <v>15</v>
      </c>
      <c r="E58" s="2">
        <v>17</v>
      </c>
      <c r="F58" s="2">
        <f>VLOOKUP(B58,[1]!Table10311[[REG. No]:[ENG]],5,0)</f>
        <v>14.5</v>
      </c>
      <c r="G58" s="2">
        <f>VLOOKUP(B58,[1]!Table10311[[REG. No]:[CITIZ]],6,0)</f>
        <v>15.5</v>
      </c>
      <c r="H58" s="2">
        <v>13.5</v>
      </c>
      <c r="I58" s="2">
        <f>VLOOKUP(B58,[1]!Table10311[[REG. No]:[FON]],8,0)</f>
        <v>11.5</v>
      </c>
      <c r="J58" s="2">
        <v>12.5</v>
      </c>
      <c r="K58" s="2">
        <v>9.5</v>
      </c>
      <c r="L58" s="2">
        <v>15</v>
      </c>
      <c r="M58" s="2">
        <v>7.5</v>
      </c>
    </row>
    <row r="59" spans="1:13" ht="15.75" x14ac:dyDescent="0.25">
      <c r="A59" s="2">
        <v>58</v>
      </c>
      <c r="B59" s="6" t="s">
        <v>128</v>
      </c>
      <c r="C59" s="6" t="s">
        <v>129</v>
      </c>
      <c r="D59" s="2">
        <v>7.5</v>
      </c>
      <c r="E59" s="2">
        <v>11</v>
      </c>
      <c r="F59" s="2">
        <f>VLOOKUP(B59,[1]!Table10311[[REG. No]:[ENG]],5,0)</f>
        <v>10.5</v>
      </c>
      <c r="G59" s="2">
        <f>VLOOKUP(B59,[1]!Table10311[[REG. No]:[CITIZ]],6,0)</f>
        <v>11</v>
      </c>
      <c r="H59" s="2">
        <v>10.5</v>
      </c>
      <c r="I59" s="2">
        <f>VLOOKUP(B59,[1]!Table10311[[REG. No]:[FON]],8,0)</f>
        <v>6.5</v>
      </c>
      <c r="J59" s="2">
        <v>10</v>
      </c>
      <c r="K59" s="2">
        <v>9</v>
      </c>
      <c r="L59" s="2">
        <v>12.5</v>
      </c>
      <c r="M59" s="2">
        <v>5</v>
      </c>
    </row>
    <row r="60" spans="1:13" ht="15.75" x14ac:dyDescent="0.25">
      <c r="A60" s="2">
        <v>59</v>
      </c>
      <c r="B60" s="6" t="s">
        <v>130</v>
      </c>
      <c r="C60" s="6" t="s">
        <v>131</v>
      </c>
      <c r="D60" s="2">
        <v>10.5</v>
      </c>
      <c r="E60" s="2">
        <v>14.5</v>
      </c>
      <c r="F60" s="2">
        <f>VLOOKUP(B60,[1]!Table10311[[REG. No]:[ENG]],5,0)</f>
        <v>16.5</v>
      </c>
      <c r="G60" s="2">
        <f>VLOOKUP(B60,[1]!Table10311[[REG. No]:[CITIZ]],6,0)</f>
        <v>13.5</v>
      </c>
      <c r="H60" s="2">
        <v>11.5</v>
      </c>
      <c r="I60" s="2">
        <f>VLOOKUP(B60,[1]!Table10311[[REG. No]:[FON]],8,0)</f>
        <v>12</v>
      </c>
      <c r="J60" s="2">
        <v>11</v>
      </c>
      <c r="K60" s="2">
        <v>12.5</v>
      </c>
      <c r="L60" s="2">
        <v>16.5</v>
      </c>
      <c r="M60" s="2">
        <v>7</v>
      </c>
    </row>
    <row r="61" spans="1:13" ht="15.75" x14ac:dyDescent="0.25">
      <c r="A61" s="2">
        <v>60</v>
      </c>
      <c r="B61" s="6" t="s">
        <v>132</v>
      </c>
      <c r="C61" s="6" t="s">
        <v>133</v>
      </c>
      <c r="D61" s="2">
        <v>13</v>
      </c>
      <c r="E61" s="2">
        <v>15.5</v>
      </c>
      <c r="F61" s="2">
        <f>VLOOKUP(B61,[1]!Table10311[[REG. No]:[ENG]],5,0)</f>
        <v>15</v>
      </c>
      <c r="G61" s="2">
        <f>VLOOKUP(B61,[1]!Table10311[[REG. No]:[CITIZ]],6,0)</f>
        <v>15.5</v>
      </c>
      <c r="H61" s="2">
        <v>12.5</v>
      </c>
      <c r="I61" s="2">
        <f>VLOOKUP(B61,[1]!Table10311[[REG. No]:[FON]],8,0)</f>
        <v>13</v>
      </c>
      <c r="J61" s="2">
        <v>15</v>
      </c>
      <c r="K61" s="2">
        <v>15</v>
      </c>
      <c r="L61" s="2">
        <v>17</v>
      </c>
      <c r="M61" s="2">
        <v>10</v>
      </c>
    </row>
    <row r="62" spans="1:13" ht="15.75" x14ac:dyDescent="0.25">
      <c r="A62" s="2">
        <v>61</v>
      </c>
      <c r="B62" s="6" t="s">
        <v>134</v>
      </c>
      <c r="C62" s="6" t="s">
        <v>135</v>
      </c>
      <c r="D62" s="2">
        <v>12</v>
      </c>
      <c r="E62" s="2">
        <v>11</v>
      </c>
      <c r="F62" s="2">
        <f>VLOOKUP(B62,[1]!Table10311[[REG. No]:[ENG]],5,0)</f>
        <v>13.5</v>
      </c>
      <c r="G62" s="2">
        <f>VLOOKUP(B62,[1]!Table10311[[REG. No]:[CITIZ]],6,0)</f>
        <v>13</v>
      </c>
      <c r="H62" s="2">
        <v>9.5</v>
      </c>
      <c r="I62" s="2">
        <f>VLOOKUP(B62,[1]!Table10311[[REG. No]:[FON]],8,0)</f>
        <v>10</v>
      </c>
      <c r="J62" s="2">
        <v>10.5</v>
      </c>
      <c r="K62" s="2">
        <v>11</v>
      </c>
      <c r="L62" s="2">
        <v>13.5</v>
      </c>
      <c r="M62" s="2">
        <v>7.5</v>
      </c>
    </row>
    <row r="63" spans="1:13" ht="15.75" x14ac:dyDescent="0.25">
      <c r="A63" s="2">
        <v>62</v>
      </c>
      <c r="B63" s="6" t="s">
        <v>136</v>
      </c>
      <c r="C63" s="6" t="s">
        <v>137</v>
      </c>
      <c r="D63" s="2">
        <v>10.5</v>
      </c>
      <c r="E63" s="2">
        <v>14.5</v>
      </c>
      <c r="F63" s="2">
        <f>VLOOKUP(B63,[1]!Table10311[[REG. No]:[ENG]],5,0)</f>
        <v>13</v>
      </c>
      <c r="G63" s="2">
        <f>VLOOKUP(B63,[1]!Table10311[[REG. No]:[CITIZ]],6,0)</f>
        <v>14</v>
      </c>
      <c r="H63" s="2">
        <v>10</v>
      </c>
      <c r="I63" s="2">
        <f>VLOOKUP(B63,[1]!Table10311[[REG. No]:[FON]],8,0)</f>
        <v>11.5</v>
      </c>
      <c r="J63" s="2">
        <v>10.5</v>
      </c>
      <c r="K63" s="2">
        <v>11.5</v>
      </c>
      <c r="L63" s="2">
        <v>15.5</v>
      </c>
      <c r="M63" s="2">
        <v>6</v>
      </c>
    </row>
    <row r="64" spans="1:13" ht="15.75" x14ac:dyDescent="0.25">
      <c r="A64" s="2">
        <v>63</v>
      </c>
      <c r="B64" s="6" t="s">
        <v>138</v>
      </c>
      <c r="C64" s="6" t="s">
        <v>139</v>
      </c>
      <c r="D64" s="2">
        <v>13</v>
      </c>
      <c r="E64" s="2">
        <v>14</v>
      </c>
      <c r="F64" s="2">
        <f>VLOOKUP(B64,[1]!Table10311[[REG. No]:[ENG]],5,0)</f>
        <v>12</v>
      </c>
      <c r="G64" s="2">
        <f>VLOOKUP(B64,[1]!Table10311[[REG. No]:[CITIZ]],6,0)</f>
        <v>14</v>
      </c>
      <c r="H64" s="2">
        <v>10</v>
      </c>
      <c r="I64" s="2">
        <f>VLOOKUP(B64,[1]!Table10311[[REG. No]:[FON]],8,0)</f>
        <v>9.5</v>
      </c>
      <c r="J64" s="2">
        <v>12</v>
      </c>
      <c r="K64" s="2">
        <v>13</v>
      </c>
      <c r="L64" s="2">
        <v>14.5</v>
      </c>
      <c r="M64" s="2">
        <v>9</v>
      </c>
    </row>
    <row r="65" spans="1:13" ht="15.75" x14ac:dyDescent="0.25">
      <c r="A65" s="2">
        <v>64</v>
      </c>
      <c r="B65" s="6" t="s">
        <v>140</v>
      </c>
      <c r="C65" s="6" t="s">
        <v>141</v>
      </c>
      <c r="D65" s="2">
        <v>13</v>
      </c>
      <c r="E65" s="2">
        <v>11</v>
      </c>
      <c r="F65" s="2">
        <f>VLOOKUP(B65,[1]!Table10311[[REG. No]:[ENG]],5,0)</f>
        <v>11</v>
      </c>
      <c r="G65" s="2">
        <f>VLOOKUP(B65,[1]!Table10311[[REG. No]:[CITIZ]],6,0)</f>
        <v>14</v>
      </c>
      <c r="H65" s="2">
        <v>8</v>
      </c>
      <c r="I65" s="2">
        <f>VLOOKUP(B65,[1]!Table10311[[REG. No]:[FON]],8,0)</f>
        <v>9</v>
      </c>
      <c r="J65" s="2">
        <v>10</v>
      </c>
      <c r="K65" s="2">
        <v>9.5</v>
      </c>
      <c r="L65" s="2">
        <v>11.5</v>
      </c>
      <c r="M65" s="2">
        <v>8</v>
      </c>
    </row>
    <row r="66" spans="1:13" ht="15.75" x14ac:dyDescent="0.25">
      <c r="A66" s="2">
        <v>65</v>
      </c>
      <c r="B66" s="6" t="s">
        <v>142</v>
      </c>
      <c r="C66" s="6" t="s">
        <v>143</v>
      </c>
      <c r="D66" s="2">
        <v>17</v>
      </c>
      <c r="E66" s="2">
        <v>18</v>
      </c>
      <c r="F66" s="2">
        <f>VLOOKUP(B66,[1]!Table10311[[REG. No]:[ENG]],5,0)</f>
        <v>14.5</v>
      </c>
      <c r="G66" s="2">
        <f>VLOOKUP(B66,[1]!Table10311[[REG. No]:[CITIZ]],6,0)</f>
        <v>16.5</v>
      </c>
      <c r="H66" s="2">
        <v>15.5</v>
      </c>
      <c r="I66" s="2">
        <f>VLOOKUP(B66,[1]!Table10311[[REG. No]:[FON]],8,0)</f>
        <v>14</v>
      </c>
      <c r="J66" s="2">
        <v>17</v>
      </c>
      <c r="K66" s="2">
        <v>17</v>
      </c>
      <c r="L66" s="2">
        <v>17</v>
      </c>
      <c r="M66" s="2">
        <v>9</v>
      </c>
    </row>
    <row r="67" spans="1:13" ht="15.75" x14ac:dyDescent="0.25">
      <c r="A67" s="2">
        <v>66</v>
      </c>
      <c r="B67" s="6" t="s">
        <v>144</v>
      </c>
      <c r="C67" s="6" t="s">
        <v>145</v>
      </c>
      <c r="D67" s="2">
        <v>14</v>
      </c>
      <c r="E67" s="2">
        <v>15.5</v>
      </c>
      <c r="F67" s="2">
        <f>VLOOKUP(B67,[1]!Table10311[[REG. No]:[ENG]],5,0)</f>
        <v>15</v>
      </c>
      <c r="G67" s="2">
        <f>VLOOKUP(B67,[1]!Table10311[[REG. No]:[CITIZ]],6,0)</f>
        <v>15</v>
      </c>
      <c r="H67" s="2">
        <v>11.5</v>
      </c>
      <c r="I67" s="2">
        <f>VLOOKUP(B67,[1]!Table10311[[REG. No]:[FON]],8,0)</f>
        <v>11.5</v>
      </c>
      <c r="J67" s="2">
        <v>14.5</v>
      </c>
      <c r="K67" s="2">
        <v>14.5</v>
      </c>
      <c r="L67" s="2">
        <v>15.5</v>
      </c>
      <c r="M67" s="2">
        <v>9</v>
      </c>
    </row>
    <row r="68" spans="1:13" ht="15.75" x14ac:dyDescent="0.25">
      <c r="A68" s="2">
        <v>67</v>
      </c>
      <c r="B68" s="6" t="s">
        <v>146</v>
      </c>
      <c r="C68" s="6" t="s">
        <v>147</v>
      </c>
      <c r="D68" s="2">
        <v>17.5</v>
      </c>
      <c r="E68" s="2">
        <v>16.5</v>
      </c>
      <c r="F68" s="2">
        <f>VLOOKUP(B68,[1]!Table10311[[REG. No]:[ENG]],5,0)</f>
        <v>15.5</v>
      </c>
      <c r="G68" s="2">
        <f>VLOOKUP(B68,[1]!Table10311[[REG. No]:[CITIZ]],6,0)</f>
        <v>14.5</v>
      </c>
      <c r="H68" s="2">
        <v>17.5</v>
      </c>
      <c r="I68" s="2">
        <f>VLOOKUP(B68,[1]!Table10311[[REG. No]:[FON]],8,0)</f>
        <v>15</v>
      </c>
      <c r="J68" s="2">
        <v>13.5</v>
      </c>
      <c r="K68" s="2">
        <v>17.5</v>
      </c>
      <c r="L68" s="2">
        <v>19</v>
      </c>
      <c r="M68" s="2">
        <v>13.5</v>
      </c>
    </row>
    <row r="69" spans="1:13" ht="15.75" x14ac:dyDescent="0.25">
      <c r="A69" s="2">
        <v>68</v>
      </c>
      <c r="B69" s="6" t="s">
        <v>148</v>
      </c>
      <c r="C69" s="6" t="s">
        <v>149</v>
      </c>
      <c r="D69" s="2">
        <v>15.5</v>
      </c>
      <c r="E69" s="2">
        <v>14</v>
      </c>
      <c r="F69" s="2">
        <f>VLOOKUP(B69,[1]!Table10311[[REG. No]:[ENG]],5,0)</f>
        <v>14</v>
      </c>
      <c r="G69" s="2">
        <f>VLOOKUP(B69,[1]!Table10311[[REG. No]:[CITIZ]],6,0)</f>
        <v>12</v>
      </c>
      <c r="H69" s="2">
        <v>15.5</v>
      </c>
      <c r="I69" s="2">
        <f>VLOOKUP(B69,[1]!Table10311[[REG. No]:[FON]],8,0)</f>
        <v>10</v>
      </c>
      <c r="J69" s="2">
        <v>15</v>
      </c>
      <c r="K69" s="2">
        <v>16</v>
      </c>
      <c r="L69" s="2">
        <v>17.5</v>
      </c>
      <c r="M69" s="2">
        <v>9.5</v>
      </c>
    </row>
    <row r="70" spans="1:13" ht="15.75" x14ac:dyDescent="0.25">
      <c r="A70" s="2">
        <v>69</v>
      </c>
      <c r="B70" s="6" t="s">
        <v>150</v>
      </c>
      <c r="C70" s="6" t="s">
        <v>151</v>
      </c>
      <c r="D70" s="2">
        <v>16.5</v>
      </c>
      <c r="E70" s="2">
        <v>18</v>
      </c>
      <c r="F70" s="2">
        <f>VLOOKUP(B70,[1]!Table10311[[REG. No]:[ENG]],5,0)</f>
        <v>18</v>
      </c>
      <c r="G70" s="2">
        <f>VLOOKUP(B70,[1]!Table10311[[REG. No]:[CITIZ]],6,0)</f>
        <v>16</v>
      </c>
      <c r="H70" s="2">
        <v>16.5</v>
      </c>
      <c r="I70" s="2">
        <f>VLOOKUP(B70,[1]!Table10311[[REG. No]:[FON]],8,0)</f>
        <v>13.5</v>
      </c>
      <c r="J70" s="2">
        <v>17</v>
      </c>
      <c r="K70" s="2">
        <v>16.5</v>
      </c>
      <c r="L70" s="2">
        <v>18</v>
      </c>
      <c r="M70" s="2">
        <v>10</v>
      </c>
    </row>
    <row r="71" spans="1:13" ht="15.75" x14ac:dyDescent="0.25">
      <c r="A71" s="2">
        <v>70</v>
      </c>
      <c r="B71" s="6" t="s">
        <v>152</v>
      </c>
      <c r="C71" s="6" t="s">
        <v>153</v>
      </c>
      <c r="D71" s="2">
        <v>10.5</v>
      </c>
      <c r="E71" s="2">
        <v>14</v>
      </c>
      <c r="F71" s="2">
        <f>VLOOKUP(B71,[1]!Table10311[[REG. No]:[ENG]],5,0)</f>
        <v>12.5</v>
      </c>
      <c r="G71" s="2">
        <f>VLOOKUP(B71,[1]!Table10311[[REG. No]:[CITIZ]],6,0)</f>
        <v>14</v>
      </c>
      <c r="H71" s="2">
        <v>11</v>
      </c>
      <c r="I71" s="2">
        <f>VLOOKUP(B71,[1]!Table10311[[REG. No]:[FON]],8,0)</f>
        <v>11</v>
      </c>
      <c r="J71" s="2">
        <v>12</v>
      </c>
      <c r="K71" s="2">
        <v>8</v>
      </c>
      <c r="L71" s="2">
        <v>16.5</v>
      </c>
      <c r="M71" s="2">
        <v>8.5</v>
      </c>
    </row>
    <row r="72" spans="1:13" ht="15.75" x14ac:dyDescent="0.25">
      <c r="A72" s="2">
        <v>71</v>
      </c>
      <c r="B72" s="6" t="s">
        <v>154</v>
      </c>
      <c r="C72" s="6" t="s">
        <v>155</v>
      </c>
      <c r="D72" s="2">
        <v>11</v>
      </c>
      <c r="E72" s="2">
        <v>15.5</v>
      </c>
      <c r="F72" s="2">
        <f>VLOOKUP(B72,[1]!Table10311[[REG. No]:[ENG]],5,0)</f>
        <v>14</v>
      </c>
      <c r="G72" s="2">
        <f>VLOOKUP(B72,[1]!Table10311[[REG. No]:[CITIZ]],6,0)</f>
        <v>13</v>
      </c>
      <c r="H72" s="2">
        <v>13</v>
      </c>
      <c r="I72" s="2">
        <f>VLOOKUP(B72,[1]!Table10311[[REG. No]:[FON]],8,0)</f>
        <v>10.5</v>
      </c>
      <c r="J72" s="2">
        <v>12</v>
      </c>
      <c r="K72" s="2">
        <v>11</v>
      </c>
      <c r="L72" s="2">
        <v>15.5</v>
      </c>
      <c r="M72" s="2">
        <v>8.5</v>
      </c>
    </row>
    <row r="73" spans="1:13" ht="15.75" x14ac:dyDescent="0.25">
      <c r="A73" s="2">
        <v>72</v>
      </c>
      <c r="B73" s="6" t="s">
        <v>156</v>
      </c>
      <c r="C73" s="6" t="s">
        <v>157</v>
      </c>
      <c r="D73" s="2">
        <v>12.5</v>
      </c>
      <c r="E73" s="2">
        <v>12.5</v>
      </c>
      <c r="F73" s="2">
        <f>VLOOKUP(B73,[1]!Table10311[[REG. No]:[ENG]],5,0)</f>
        <v>15</v>
      </c>
      <c r="G73" s="2">
        <f>VLOOKUP(B73,[1]!Table10311[[REG. No]:[CITIZ]],6,0)</f>
        <v>13</v>
      </c>
      <c r="H73" s="2">
        <v>14.5</v>
      </c>
      <c r="I73" s="2">
        <f>VLOOKUP(B73,[1]!Table10311[[REG. No]:[FON]],8,0)</f>
        <v>12</v>
      </c>
      <c r="J73" s="2">
        <v>11.5</v>
      </c>
      <c r="K73" s="2">
        <v>11</v>
      </c>
      <c r="L73" s="2">
        <v>17</v>
      </c>
      <c r="M73" s="2">
        <v>7</v>
      </c>
    </row>
    <row r="74" spans="1:13" ht="15.75" x14ac:dyDescent="0.25">
      <c r="A74" s="2">
        <v>73</v>
      </c>
      <c r="B74" s="6" t="s">
        <v>158</v>
      </c>
      <c r="C74" s="6" t="s">
        <v>159</v>
      </c>
      <c r="D74" s="2">
        <v>12</v>
      </c>
      <c r="E74" s="2">
        <v>14</v>
      </c>
      <c r="F74" s="2">
        <f>VLOOKUP(B74,[1]!Table10311[[REG. No]:[ENG]],5,0)</f>
        <v>10</v>
      </c>
      <c r="G74" s="2">
        <f>VLOOKUP(B74,[1]!Table10311[[REG. No]:[CITIZ]],6,0)</f>
        <v>10.5</v>
      </c>
      <c r="H74" s="2">
        <v>8</v>
      </c>
      <c r="I74" s="2">
        <f>VLOOKUP(B74,[1]!Table10311[[REG. No]:[FON]],8,0)</f>
        <v>10.5</v>
      </c>
      <c r="J74" s="2">
        <v>10</v>
      </c>
      <c r="K74" s="2">
        <v>8.5</v>
      </c>
      <c r="L74" s="2">
        <v>13</v>
      </c>
      <c r="M74" s="2">
        <v>7</v>
      </c>
    </row>
    <row r="75" spans="1:13" ht="15.75" x14ac:dyDescent="0.25">
      <c r="A75" s="2">
        <v>74</v>
      </c>
      <c r="B75" s="6" t="s">
        <v>160</v>
      </c>
      <c r="C75" s="6" t="s">
        <v>161</v>
      </c>
      <c r="D75" s="2">
        <v>13.5</v>
      </c>
      <c r="E75" s="2">
        <v>13.5</v>
      </c>
      <c r="F75" s="2">
        <f>VLOOKUP(B75,[1]!Table10311[[REG. No]:[ENG]],5,0)</f>
        <v>16</v>
      </c>
      <c r="G75" s="2">
        <f>VLOOKUP(B75,[1]!Table10311[[REG. No]:[CITIZ]],6,0)</f>
        <v>12.5</v>
      </c>
      <c r="H75" s="2">
        <v>14.5</v>
      </c>
      <c r="I75" s="2">
        <f>VLOOKUP(B75,[1]!Table10311[[REG. No]:[FON]],8,0)</f>
        <v>13.5</v>
      </c>
      <c r="J75" s="2">
        <v>14</v>
      </c>
      <c r="K75" s="2">
        <v>14</v>
      </c>
      <c r="L75" s="2">
        <v>19</v>
      </c>
      <c r="M75" s="2">
        <v>7.5</v>
      </c>
    </row>
    <row r="76" spans="1:13" ht="15.75" x14ac:dyDescent="0.25">
      <c r="A76" s="2">
        <v>75</v>
      </c>
      <c r="B76" s="6" t="s">
        <v>162</v>
      </c>
      <c r="C76" s="6" t="s">
        <v>163</v>
      </c>
      <c r="D76" s="2">
        <v>11.5</v>
      </c>
      <c r="E76" s="2">
        <v>13.5</v>
      </c>
      <c r="F76" s="2">
        <f>VLOOKUP(B76,[1]!Table10311[[REG. No]:[ENG]],5,0)</f>
        <v>12.5</v>
      </c>
      <c r="G76" s="2">
        <f>VLOOKUP(B76,[1]!Table10311[[REG. No]:[CITIZ]],6,0)</f>
        <v>14.5</v>
      </c>
      <c r="H76" s="2">
        <v>13</v>
      </c>
      <c r="I76" s="2">
        <f>VLOOKUP(B76,[1]!Table10311[[REG. No]:[FON]],8,0)</f>
        <v>9.5</v>
      </c>
      <c r="J76" s="2">
        <v>13.5</v>
      </c>
      <c r="K76" s="2">
        <v>11</v>
      </c>
      <c r="L76" s="2">
        <v>16</v>
      </c>
      <c r="M76" s="2">
        <v>8.5</v>
      </c>
    </row>
    <row r="77" spans="1:13" ht="15.75" x14ac:dyDescent="0.25">
      <c r="A77" s="2">
        <v>76</v>
      </c>
      <c r="B77" s="6" t="s">
        <v>164</v>
      </c>
      <c r="C77" s="6" t="s">
        <v>165</v>
      </c>
      <c r="D77" s="2">
        <v>16</v>
      </c>
      <c r="E77" s="2">
        <v>12</v>
      </c>
      <c r="F77" s="2">
        <f>VLOOKUP(B77,[1]!Table10311[[REG. No]:[ENG]],5,0)</f>
        <v>12.5</v>
      </c>
      <c r="G77" s="2">
        <f>VLOOKUP(B77,[1]!Table10311[[REG. No]:[CITIZ]],6,0)</f>
        <v>14.5</v>
      </c>
      <c r="H77" s="2">
        <v>12</v>
      </c>
      <c r="I77" s="2">
        <f>VLOOKUP(B77,[1]!Table10311[[REG. No]:[FON]],8,0)</f>
        <v>11</v>
      </c>
      <c r="J77" s="2">
        <v>12.5</v>
      </c>
      <c r="K77" s="2">
        <v>12</v>
      </c>
      <c r="L77" s="2">
        <v>16.5</v>
      </c>
      <c r="M77" s="2">
        <v>9</v>
      </c>
    </row>
    <row r="78" spans="1:13" ht="15.75" x14ac:dyDescent="0.25">
      <c r="A78" s="2">
        <v>77</v>
      </c>
      <c r="B78" s="6" t="s">
        <v>166</v>
      </c>
      <c r="C78" s="6" t="s">
        <v>167</v>
      </c>
      <c r="D78" s="2">
        <v>13.5</v>
      </c>
      <c r="E78" s="2">
        <v>15</v>
      </c>
      <c r="F78" s="2">
        <f>VLOOKUP(B78,[1]!Table10311[[REG. No]:[ENG]],5,0)</f>
        <v>15</v>
      </c>
      <c r="G78" s="2">
        <f>VLOOKUP(B78,[1]!Table10311[[REG. No]:[CITIZ]],6,0)</f>
        <v>16</v>
      </c>
      <c r="H78" s="2">
        <v>12</v>
      </c>
      <c r="I78" s="2">
        <f>VLOOKUP(B78,[1]!Table10311[[REG. No]:[FON]],8,0)</f>
        <v>12.5</v>
      </c>
      <c r="J78" s="2">
        <v>15</v>
      </c>
      <c r="K78" s="2">
        <v>10.5</v>
      </c>
      <c r="L78" s="2">
        <v>18.5</v>
      </c>
      <c r="M78" s="2">
        <v>9.5</v>
      </c>
    </row>
    <row r="79" spans="1:13" ht="15.75" x14ac:dyDescent="0.25">
      <c r="A79" s="2">
        <v>78</v>
      </c>
      <c r="B79" s="6" t="s">
        <v>168</v>
      </c>
      <c r="C79" s="6" t="s">
        <v>169</v>
      </c>
      <c r="D79" s="2">
        <v>11.5</v>
      </c>
      <c r="E79" s="2">
        <v>14.5</v>
      </c>
      <c r="F79" s="2">
        <f>VLOOKUP(B79,[1]!Table10311[[REG. No]:[ENG]],5,0)</f>
        <v>12.5</v>
      </c>
      <c r="G79" s="2">
        <f>VLOOKUP(B79,[1]!Table10311[[REG. No]:[CITIZ]],6,0)</f>
        <v>13</v>
      </c>
      <c r="H79" s="2">
        <v>9</v>
      </c>
      <c r="I79" s="2">
        <f>VLOOKUP(B79,[1]!Table10311[[REG. No]:[FON]],8,0)</f>
        <v>10.5</v>
      </c>
      <c r="J79" s="2">
        <v>11</v>
      </c>
      <c r="K79" s="2">
        <v>9.5</v>
      </c>
      <c r="L79" s="2">
        <v>16.5</v>
      </c>
      <c r="M79" s="2">
        <v>9</v>
      </c>
    </row>
    <row r="80" spans="1:13" ht="15.75" x14ac:dyDescent="0.25">
      <c r="A80" s="2">
        <v>79</v>
      </c>
      <c r="B80" s="6" t="s">
        <v>170</v>
      </c>
      <c r="C80" s="6" t="s">
        <v>171</v>
      </c>
      <c r="D80" s="2">
        <v>13.5</v>
      </c>
      <c r="E80" s="2">
        <v>15.5</v>
      </c>
      <c r="F80" s="2">
        <f>VLOOKUP(B80,[1]!Table10311[[REG. No]:[ENG]],5,0)</f>
        <v>12.5</v>
      </c>
      <c r="G80" s="2">
        <f>VLOOKUP(B80,[1]!Table10311[[REG. No]:[CITIZ]],6,0)</f>
        <v>15.5</v>
      </c>
      <c r="H80" s="2">
        <v>13</v>
      </c>
      <c r="I80" s="2">
        <f>VLOOKUP(B80,[1]!Table10311[[REG. No]:[FON]],8,0)</f>
        <v>12.5</v>
      </c>
      <c r="J80" s="2">
        <v>15.5</v>
      </c>
      <c r="K80" s="2">
        <v>14</v>
      </c>
      <c r="L80" s="2">
        <v>16</v>
      </c>
      <c r="M80" s="2">
        <v>10</v>
      </c>
    </row>
    <row r="81" spans="1:13" ht="15.75" x14ac:dyDescent="0.25">
      <c r="A81" s="2">
        <v>80</v>
      </c>
      <c r="B81" s="6" t="s">
        <v>172</v>
      </c>
      <c r="C81" s="6" t="s">
        <v>173</v>
      </c>
      <c r="D81" s="2">
        <v>10</v>
      </c>
      <c r="E81" s="2">
        <v>10</v>
      </c>
      <c r="F81" s="2">
        <f>VLOOKUP(B81,[1]!Table10311[[REG. No]:[ENG]],5,0)</f>
        <v>8</v>
      </c>
      <c r="G81" s="2">
        <f>VLOOKUP(B81,[1]!Table10311[[REG. No]:[CITIZ]],6,0)</f>
        <v>11</v>
      </c>
      <c r="H81" s="2">
        <v>9</v>
      </c>
      <c r="I81" s="2">
        <f>VLOOKUP(B81,[1]!Table10311[[REG. No]:[FON]],8,0)</f>
        <v>6</v>
      </c>
      <c r="J81" s="2">
        <v>9.5</v>
      </c>
      <c r="K81" s="2">
        <v>8</v>
      </c>
      <c r="L81" s="2">
        <v>11</v>
      </c>
      <c r="M81" s="2">
        <v>6</v>
      </c>
    </row>
    <row r="82" spans="1:13" ht="15.75" x14ac:dyDescent="0.25">
      <c r="A82" s="2">
        <v>81</v>
      </c>
      <c r="B82" s="6" t="s">
        <v>174</v>
      </c>
      <c r="C82" s="6" t="s">
        <v>175</v>
      </c>
      <c r="D82" s="2">
        <v>7</v>
      </c>
      <c r="E82" s="2">
        <v>9.5</v>
      </c>
      <c r="F82" s="2">
        <f>VLOOKUP(B82,[1]!Table10311[[REG. No]:[ENG]],5,0)</f>
        <v>10</v>
      </c>
      <c r="G82" s="2">
        <f>VLOOKUP(B82,[1]!Table10311[[REG. No]:[CITIZ]],6,0)</f>
        <v>10</v>
      </c>
      <c r="H82" s="2">
        <v>8</v>
      </c>
      <c r="I82" s="2">
        <f>VLOOKUP(B82,[1]!Table10311[[REG. No]:[FON]],8,0)</f>
        <v>8.5</v>
      </c>
      <c r="J82" s="2">
        <v>7</v>
      </c>
      <c r="K82" s="2">
        <v>8</v>
      </c>
      <c r="L82" s="2">
        <v>9</v>
      </c>
      <c r="M82" s="2">
        <v>6</v>
      </c>
    </row>
    <row r="83" spans="1:13" ht="15.75" x14ac:dyDescent="0.25">
      <c r="A83" s="2">
        <v>82</v>
      </c>
      <c r="B83" s="6" t="s">
        <v>176</v>
      </c>
      <c r="C83" s="6" t="s">
        <v>177</v>
      </c>
      <c r="D83" s="2">
        <v>11.5</v>
      </c>
      <c r="E83" s="2">
        <v>12.5</v>
      </c>
      <c r="F83" s="2">
        <f>VLOOKUP(B83,[1]!Table10311[[REG. No]:[ENG]],5,0)</f>
        <v>13</v>
      </c>
      <c r="G83" s="2">
        <f>VLOOKUP(B83,[1]!Table10311[[REG. No]:[CITIZ]],6,0)</f>
        <v>13</v>
      </c>
      <c r="H83" s="2">
        <v>9.5</v>
      </c>
      <c r="I83" s="2">
        <f>VLOOKUP(B83,[1]!Table10311[[REG. No]:[FON]],8,0)</f>
        <v>10.5</v>
      </c>
      <c r="J83" s="2">
        <v>9.5</v>
      </c>
      <c r="K83" s="2">
        <v>7.5</v>
      </c>
      <c r="L83" s="2">
        <v>16.5</v>
      </c>
      <c r="M83" s="2">
        <v>8.5</v>
      </c>
    </row>
    <row r="84" spans="1:13" ht="15.75" x14ac:dyDescent="0.25">
      <c r="A84" s="2">
        <v>83</v>
      </c>
      <c r="B84" s="6" t="s">
        <v>178</v>
      </c>
      <c r="C84" s="6" t="s">
        <v>179</v>
      </c>
      <c r="D84" s="2">
        <v>5</v>
      </c>
      <c r="E84" s="2">
        <v>10.5</v>
      </c>
      <c r="F84" s="2">
        <f>VLOOKUP(B84,[1]!Table10311[[REG. No]:[ENG]],5,0)</f>
        <v>10</v>
      </c>
      <c r="G84" s="2">
        <f>VLOOKUP(B84,[1]!Table10311[[REG. No]:[CITIZ]],6,0)</f>
        <v>8.5</v>
      </c>
      <c r="H84" s="2">
        <v>9</v>
      </c>
      <c r="I84" s="2">
        <f>VLOOKUP(B84,[1]!Table10311[[REG. No]:[FON]],8,0)</f>
        <v>4.5</v>
      </c>
      <c r="J84" s="2">
        <v>7.5</v>
      </c>
      <c r="K84" s="2">
        <v>7</v>
      </c>
      <c r="L84" s="2">
        <v>13</v>
      </c>
      <c r="M84" s="2">
        <v>7.5</v>
      </c>
    </row>
    <row r="85" spans="1:13" ht="15.75" x14ac:dyDescent="0.25">
      <c r="A85" s="2">
        <v>84</v>
      </c>
      <c r="B85" s="6" t="s">
        <v>180</v>
      </c>
      <c r="C85" s="6" t="s">
        <v>181</v>
      </c>
      <c r="D85" s="2">
        <v>11.5</v>
      </c>
      <c r="E85" s="2">
        <v>16</v>
      </c>
      <c r="F85" s="2">
        <f>VLOOKUP(B85,[1]!Table10311[[REG. No]:[ENG]],5,0)</f>
        <v>12.5</v>
      </c>
      <c r="G85" s="2">
        <f>VLOOKUP(B85,[1]!Table10311[[REG. No]:[CITIZ]],6,0)</f>
        <v>12.5</v>
      </c>
      <c r="H85" s="2">
        <v>9</v>
      </c>
      <c r="I85" s="2">
        <f>VLOOKUP(B85,[1]!Table10311[[REG. No]:[FON]],8,0)</f>
        <v>13.5</v>
      </c>
      <c r="J85" s="2">
        <v>15</v>
      </c>
      <c r="K85" s="2">
        <v>13</v>
      </c>
      <c r="L85" s="2">
        <v>16</v>
      </c>
      <c r="M85" s="2">
        <v>9</v>
      </c>
    </row>
    <row r="86" spans="1:13" ht="15.75" x14ac:dyDescent="0.25">
      <c r="A86" s="2">
        <v>85</v>
      </c>
      <c r="B86" s="6" t="s">
        <v>182</v>
      </c>
      <c r="C86" s="6" t="s">
        <v>183</v>
      </c>
      <c r="D86" s="2">
        <v>13.5</v>
      </c>
      <c r="E86" s="2">
        <v>16</v>
      </c>
      <c r="F86" s="2">
        <f>VLOOKUP(B86,[1]!Table10311[[REG. No]:[ENG]],5,0)</f>
        <v>15.5</v>
      </c>
      <c r="G86" s="2">
        <f>VLOOKUP(B86,[1]!Table10311[[REG. No]:[CITIZ]],6,0)</f>
        <v>12.5</v>
      </c>
      <c r="H86" s="2">
        <v>14</v>
      </c>
      <c r="I86" s="2">
        <f>VLOOKUP(B86,[1]!Table10311[[REG. No]:[FON]],8,0)</f>
        <v>12</v>
      </c>
      <c r="J86" s="2">
        <v>15</v>
      </c>
      <c r="K86" s="2">
        <v>12.5</v>
      </c>
      <c r="L86" s="2">
        <v>13</v>
      </c>
      <c r="M86" s="2">
        <v>9.5</v>
      </c>
    </row>
    <row r="87" spans="1:13" ht="15.75" x14ac:dyDescent="0.25">
      <c r="A87" s="2">
        <v>86</v>
      </c>
      <c r="B87" s="6" t="s">
        <v>184</v>
      </c>
      <c r="C87" s="6" t="s">
        <v>185</v>
      </c>
      <c r="D87" s="2">
        <v>16</v>
      </c>
      <c r="E87" s="2">
        <v>15.5</v>
      </c>
      <c r="F87" s="2">
        <f>VLOOKUP(B87,[1]!Table10311[[REG. No]:[ENG]],5,0)</f>
        <v>14.5</v>
      </c>
      <c r="G87" s="2">
        <f>VLOOKUP(B87,[1]!Table10311[[REG. No]:[CITIZ]],6,0)</f>
        <v>13</v>
      </c>
      <c r="H87" s="2">
        <v>14</v>
      </c>
      <c r="I87" s="2">
        <f>VLOOKUP(B87,[1]!Table10311[[REG. No]:[FON]],8,0)</f>
        <v>12</v>
      </c>
      <c r="J87" s="2">
        <v>13</v>
      </c>
      <c r="K87" s="2">
        <v>16</v>
      </c>
      <c r="L87" s="2">
        <v>17.5</v>
      </c>
      <c r="M87" s="2">
        <v>9.5</v>
      </c>
    </row>
    <row r="88" spans="1:13" ht="15.75" x14ac:dyDescent="0.25">
      <c r="A88" s="2">
        <v>87</v>
      </c>
      <c r="B88" s="6" t="s">
        <v>186</v>
      </c>
      <c r="C88" s="6" t="s">
        <v>187</v>
      </c>
      <c r="D88" s="2">
        <v>12</v>
      </c>
      <c r="E88" s="2">
        <v>16</v>
      </c>
      <c r="F88" s="2">
        <f>VLOOKUP(B88,[1]!Table10311[[REG. No]:[ENG]],5,0)</f>
        <v>16</v>
      </c>
      <c r="G88" s="2">
        <f>VLOOKUP(B88,[1]!Table10311[[REG. No]:[CITIZ]],6,0)</f>
        <v>14.5</v>
      </c>
      <c r="H88" s="2">
        <v>11.5</v>
      </c>
      <c r="I88" s="2">
        <f>VLOOKUP(B88,[1]!Table10311[[REG. No]:[FON]],8,0)</f>
        <v>11.5</v>
      </c>
      <c r="J88" s="2">
        <v>15.5</v>
      </c>
      <c r="K88" s="2">
        <v>12.5</v>
      </c>
      <c r="L88" s="2">
        <v>16.5</v>
      </c>
      <c r="M88" s="2">
        <v>9</v>
      </c>
    </row>
    <row r="89" spans="1:13" ht="15.75" x14ac:dyDescent="0.25">
      <c r="A89" s="2">
        <v>88</v>
      </c>
      <c r="B89" s="6" t="s">
        <v>188</v>
      </c>
      <c r="C89" s="6" t="s">
        <v>189</v>
      </c>
      <c r="D89" s="2">
        <v>16</v>
      </c>
      <c r="E89" s="2">
        <v>16.5</v>
      </c>
      <c r="F89" s="2">
        <f>VLOOKUP(B89,[1]!Table10311[[REG. No]:[ENG]],5,0)</f>
        <v>16</v>
      </c>
      <c r="G89" s="2">
        <f>VLOOKUP(B89,[1]!Table10311[[REG. No]:[CITIZ]],6,0)</f>
        <v>14</v>
      </c>
      <c r="H89" s="2">
        <v>13.5</v>
      </c>
      <c r="I89" s="2">
        <f>VLOOKUP(B89,[1]!Table10311[[REG. No]:[FON]],8,0)</f>
        <v>12.5</v>
      </c>
      <c r="J89" s="2">
        <v>15</v>
      </c>
      <c r="K89" s="2">
        <v>15</v>
      </c>
      <c r="L89" s="2">
        <v>18</v>
      </c>
      <c r="M89" s="2">
        <v>9</v>
      </c>
    </row>
    <row r="90" spans="1:13" ht="15.75" x14ac:dyDescent="0.25">
      <c r="A90" s="2">
        <v>89</v>
      </c>
      <c r="B90" s="6" t="s">
        <v>190</v>
      </c>
      <c r="C90" s="6" t="s">
        <v>191</v>
      </c>
      <c r="D90" s="2">
        <v>16.5</v>
      </c>
      <c r="E90" s="2">
        <v>17.5</v>
      </c>
      <c r="F90" s="2">
        <f>VLOOKUP(B90,[1]!Table10311[[REG. No]:[ENG]],5,0)</f>
        <v>16.5</v>
      </c>
      <c r="G90" s="2">
        <f>VLOOKUP(B90,[1]!Table10311[[REG. No]:[CITIZ]],6,0)</f>
        <v>18</v>
      </c>
      <c r="H90" s="2">
        <v>15.5</v>
      </c>
      <c r="I90" s="2">
        <f>VLOOKUP(B90,[1]!Table10311[[REG. No]:[FON]],8,0)</f>
        <v>15.5</v>
      </c>
      <c r="J90" s="2">
        <v>18.5</v>
      </c>
      <c r="K90" s="2">
        <v>13.5</v>
      </c>
      <c r="L90" s="2">
        <v>19</v>
      </c>
      <c r="M90" s="2">
        <v>10</v>
      </c>
    </row>
    <row r="91" spans="1:13" ht="15.75" x14ac:dyDescent="0.25">
      <c r="A91" s="2">
        <v>90</v>
      </c>
      <c r="B91" s="6" t="s">
        <v>192</v>
      </c>
      <c r="C91" s="6" t="s">
        <v>193</v>
      </c>
      <c r="D91" s="2">
        <v>16</v>
      </c>
      <c r="E91" s="2">
        <v>15</v>
      </c>
      <c r="F91" s="2">
        <f>VLOOKUP(B91,[1]!Table10311[[REG. No]:[ENG]],5,0)</f>
        <v>15</v>
      </c>
      <c r="G91" s="2">
        <f>VLOOKUP(B91,[1]!Table10311[[REG. No]:[CITIZ]],6,0)</f>
        <v>14</v>
      </c>
      <c r="H91" s="2">
        <v>15.5</v>
      </c>
      <c r="I91" s="2">
        <f>VLOOKUP(B91,[1]!Table10311[[REG. No]:[FON]],8,0)</f>
        <v>11.5</v>
      </c>
      <c r="J91" s="2">
        <v>14.5</v>
      </c>
      <c r="K91" s="2">
        <v>14</v>
      </c>
      <c r="L91" s="2">
        <v>19</v>
      </c>
      <c r="M91" s="2">
        <v>8.5</v>
      </c>
    </row>
    <row r="92" spans="1:13" ht="15.75" x14ac:dyDescent="0.25">
      <c r="A92" s="2">
        <v>91</v>
      </c>
      <c r="B92" s="6" t="s">
        <v>194</v>
      </c>
      <c r="C92" s="6" t="s">
        <v>195</v>
      </c>
      <c r="D92" s="2">
        <v>11.5</v>
      </c>
      <c r="E92" s="2">
        <v>15.5</v>
      </c>
      <c r="F92" s="2">
        <f>VLOOKUP(B92,[1]!Table10311[[REG. No]:[ENG]],5,0)</f>
        <v>14.5</v>
      </c>
      <c r="G92" s="2">
        <f>VLOOKUP(B92,[1]!Table10311[[REG. No]:[CITIZ]],6,0)</f>
        <v>15.5</v>
      </c>
      <c r="H92" s="2">
        <v>13.5</v>
      </c>
      <c r="I92" s="2">
        <f>VLOOKUP(B92,[1]!Table10311[[REG. No]:[FON]],8,0)</f>
        <v>11.5</v>
      </c>
      <c r="J92" s="2">
        <v>14.5</v>
      </c>
      <c r="K92" s="2">
        <v>13.5</v>
      </c>
      <c r="L92" s="2">
        <v>16</v>
      </c>
      <c r="M92" s="2">
        <v>9.5</v>
      </c>
    </row>
    <row r="93" spans="1:13" ht="15.75" x14ac:dyDescent="0.25">
      <c r="A93" s="2">
        <v>92</v>
      </c>
      <c r="B93" s="6" t="s">
        <v>196</v>
      </c>
      <c r="C93" s="6" t="s">
        <v>197</v>
      </c>
      <c r="D93" s="2">
        <v>14</v>
      </c>
      <c r="E93" s="2">
        <v>14</v>
      </c>
      <c r="F93" s="2">
        <f>VLOOKUP(B93,[1]!Table10311[[REG. No]:[ENG]],5,0)</f>
        <v>16</v>
      </c>
      <c r="G93" s="2">
        <f>VLOOKUP(B93,[1]!Table10311[[REG. No]:[CITIZ]],6,0)</f>
        <v>15</v>
      </c>
      <c r="H93" s="2">
        <v>11.5</v>
      </c>
      <c r="I93" s="2">
        <f>VLOOKUP(B93,[1]!Table10311[[REG. No]:[FON]],8,0)</f>
        <v>14.5</v>
      </c>
      <c r="J93" s="2">
        <v>11.5</v>
      </c>
      <c r="K93" s="2">
        <v>13</v>
      </c>
      <c r="L93" s="2">
        <v>17.5</v>
      </c>
      <c r="M93" s="2">
        <v>10.5</v>
      </c>
    </row>
    <row r="94" spans="1:13" ht="15.75" x14ac:dyDescent="0.25">
      <c r="A94" s="2">
        <v>93</v>
      </c>
      <c r="B94" s="6" t="s">
        <v>198</v>
      </c>
      <c r="C94" s="6" t="s">
        <v>199</v>
      </c>
      <c r="D94" s="2">
        <v>8.5</v>
      </c>
      <c r="E94" s="2">
        <v>7.5</v>
      </c>
      <c r="F94" s="2">
        <f>VLOOKUP(B94,[1]!Table10311[[REG. No]:[ENG]],5,0)</f>
        <v>11</v>
      </c>
      <c r="G94" s="2">
        <f>VLOOKUP(B94,[1]!Table10311[[REG. No]:[CITIZ]],6,0)</f>
        <v>13</v>
      </c>
      <c r="H94" s="2">
        <v>9</v>
      </c>
      <c r="I94" s="2">
        <f>VLOOKUP(B94,[1]!Table10311[[REG. No]:[FON]],8,0)</f>
        <v>6.5</v>
      </c>
      <c r="J94" s="2">
        <v>8.5</v>
      </c>
      <c r="K94" s="2">
        <v>5.5</v>
      </c>
      <c r="L94" s="2">
        <v>12.5</v>
      </c>
      <c r="M94" s="2">
        <v>6.5</v>
      </c>
    </row>
    <row r="95" spans="1:13" ht="15.75" x14ac:dyDescent="0.25">
      <c r="A95" s="2">
        <v>94</v>
      </c>
      <c r="B95" s="6" t="s">
        <v>200</v>
      </c>
      <c r="C95" s="6" t="s">
        <v>201</v>
      </c>
      <c r="D95" s="2">
        <v>7.5</v>
      </c>
      <c r="E95" s="2">
        <v>0</v>
      </c>
      <c r="F95" s="2">
        <f>VLOOKUP(B95,[1]!Table10311[[REG. No]:[ENG]],5,0)</f>
        <v>15</v>
      </c>
      <c r="G95" s="2">
        <f>VLOOKUP(B95,[1]!Table10311[[REG. No]:[CITIZ]],6,0)</f>
        <v>12.5</v>
      </c>
      <c r="H95" s="2">
        <v>7.5</v>
      </c>
      <c r="I95" s="2">
        <f>VLOOKUP(B95,[1]!Table10311[[REG. No]:[FON]],8,0)</f>
        <v>10.5</v>
      </c>
      <c r="J95" s="2">
        <v>12</v>
      </c>
      <c r="K95" s="2">
        <v>6</v>
      </c>
      <c r="L95" s="2">
        <v>14.5</v>
      </c>
      <c r="M95" s="2">
        <v>9.5</v>
      </c>
    </row>
    <row r="96" spans="1:13" ht="15" x14ac:dyDescent="0.25">
      <c r="A96" s="2">
        <v>95</v>
      </c>
      <c r="B96" s="2" t="s">
        <v>202</v>
      </c>
      <c r="C96" s="2" t="s">
        <v>203</v>
      </c>
      <c r="D96" s="2">
        <v>14.5</v>
      </c>
      <c r="E96" s="2">
        <v>14.5</v>
      </c>
      <c r="F96" s="2">
        <f>VLOOKUP(B96,[1]!Table10311[[REG. No]:[ENG]],5,0)</f>
        <v>15</v>
      </c>
      <c r="G96" s="2">
        <f>VLOOKUP(B96,[1]!Table10311[[REG. No]:[CITIZ]],6,0)</f>
        <v>18</v>
      </c>
      <c r="H96" s="2">
        <v>15</v>
      </c>
      <c r="I96" s="2">
        <f>VLOOKUP(B96,[1]!Table10311[[REG. No]:[FON]],8,0)</f>
        <v>11.5</v>
      </c>
      <c r="J96" s="2">
        <v>15</v>
      </c>
      <c r="K96" s="2">
        <v>14</v>
      </c>
      <c r="L96" s="2">
        <v>15</v>
      </c>
      <c r="M96" s="2">
        <v>10.5</v>
      </c>
    </row>
    <row r="97" spans="1:13" ht="15" x14ac:dyDescent="0.25">
      <c r="A97" s="2">
        <v>96</v>
      </c>
      <c r="B97" s="2" t="s">
        <v>204</v>
      </c>
      <c r="C97" s="2" t="s">
        <v>205</v>
      </c>
      <c r="D97" s="2">
        <v>10.5</v>
      </c>
      <c r="E97" s="2">
        <v>10</v>
      </c>
      <c r="F97" s="2">
        <f>VLOOKUP(B97,[1]!Table10311[[REG. No]:[ENG]],5,0)</f>
        <v>12</v>
      </c>
      <c r="G97" s="2">
        <f>VLOOKUP(B97,[1]!Table10311[[REG. No]:[CITIZ]],6,0)</f>
        <v>12</v>
      </c>
      <c r="H97" s="2">
        <v>11</v>
      </c>
      <c r="I97" s="2">
        <f>VLOOKUP(B97,[1]!Table10311[[REG. No]:[FON]],8,0)</f>
        <v>8.5</v>
      </c>
      <c r="J97" s="2">
        <v>10</v>
      </c>
      <c r="K97" s="2">
        <v>12.5</v>
      </c>
      <c r="L97" s="2">
        <v>12.5</v>
      </c>
      <c r="M97" s="2">
        <v>9</v>
      </c>
    </row>
    <row r="98" spans="1:13" ht="15" x14ac:dyDescent="0.25">
      <c r="A98" s="2">
        <v>97</v>
      </c>
      <c r="B98" s="2" t="s">
        <v>206</v>
      </c>
      <c r="C98" s="2" t="s">
        <v>207</v>
      </c>
      <c r="D98" s="2">
        <v>9</v>
      </c>
      <c r="E98" s="2">
        <v>8</v>
      </c>
      <c r="F98" s="2">
        <f>VLOOKUP(B98,[1]!Table10311[[REG. No]:[ENG]],5,0)</f>
        <v>8.5</v>
      </c>
      <c r="G98" s="2">
        <f>VLOOKUP(B98,[1]!Table10311[[REG. No]:[CITIZ]],6,0)</f>
        <v>11.5</v>
      </c>
      <c r="H98" s="2">
        <v>7.5</v>
      </c>
      <c r="I98" s="2">
        <f>VLOOKUP(B98,[1]!Table10311[[REG. No]:[FON]],8,0)</f>
        <v>10.5</v>
      </c>
      <c r="J98" s="2">
        <v>7</v>
      </c>
      <c r="K98" s="2">
        <v>6</v>
      </c>
      <c r="L98" s="2">
        <v>14</v>
      </c>
      <c r="M98" s="2">
        <v>8.5</v>
      </c>
    </row>
    <row r="99" spans="1:13" ht="15" x14ac:dyDescent="0.25">
      <c r="A99" s="2">
        <v>98</v>
      </c>
      <c r="B99" s="2" t="s">
        <v>208</v>
      </c>
      <c r="C99" s="2" t="s">
        <v>209</v>
      </c>
      <c r="D99" s="2">
        <v>10</v>
      </c>
      <c r="E99" s="2">
        <v>13.5</v>
      </c>
      <c r="F99" s="2">
        <f>VLOOKUP(B99,[1]!Table10311[[REG. No]:[ENG]],5,0)</f>
        <v>12.5</v>
      </c>
      <c r="G99" s="2">
        <f>VLOOKUP(B99,[1]!Table10311[[REG. No]:[CITIZ]],6,0)</f>
        <v>13.5</v>
      </c>
      <c r="H99" s="2">
        <v>9</v>
      </c>
      <c r="I99" s="2">
        <f>VLOOKUP(B99,[1]!Table10311[[REG. No]:[FON]],8,0)</f>
        <v>7</v>
      </c>
      <c r="J99" s="2">
        <v>6.5</v>
      </c>
      <c r="K99" s="2">
        <v>10</v>
      </c>
      <c r="L99" s="2">
        <v>14</v>
      </c>
      <c r="M99" s="2">
        <v>6.5</v>
      </c>
    </row>
    <row r="100" spans="1:13" ht="15" x14ac:dyDescent="0.25">
      <c r="A100" s="2">
        <v>99</v>
      </c>
      <c r="B100" s="2" t="s">
        <v>210</v>
      </c>
      <c r="C100" s="2" t="s">
        <v>211</v>
      </c>
      <c r="D100" s="2">
        <v>13.5</v>
      </c>
      <c r="E100" s="2">
        <v>15.5</v>
      </c>
      <c r="F100" s="2">
        <f>VLOOKUP(B100,[1]!Table10311[[REG. No]:[ENG]],5,0)</f>
        <v>14</v>
      </c>
      <c r="G100" s="2">
        <f>VLOOKUP(B100,[1]!Table10311[[REG. No]:[CITIZ]],6,0)</f>
        <v>13</v>
      </c>
      <c r="H100" s="2">
        <v>12</v>
      </c>
      <c r="I100" s="2">
        <f>VLOOKUP(B100,[1]!Table10311[[REG. No]:[FON]],8,0)</f>
        <v>13.5</v>
      </c>
      <c r="J100" s="2">
        <v>11</v>
      </c>
      <c r="K100" s="2">
        <v>12</v>
      </c>
      <c r="L100" s="2">
        <v>15.5</v>
      </c>
      <c r="M100" s="2">
        <v>9.5</v>
      </c>
    </row>
    <row r="101" spans="1:13" ht="15" x14ac:dyDescent="0.25">
      <c r="A101" s="2">
        <v>100</v>
      </c>
      <c r="B101" s="2" t="s">
        <v>212</v>
      </c>
      <c r="C101" s="2" t="s">
        <v>213</v>
      </c>
      <c r="D101" s="2">
        <v>11.5</v>
      </c>
      <c r="E101" s="2">
        <v>11</v>
      </c>
      <c r="F101" s="2">
        <f>VLOOKUP(B101,[1]!Table10311[[REG. No]:[ENG]],5,0)</f>
        <v>11</v>
      </c>
      <c r="G101" s="2">
        <f>VLOOKUP(B101,[1]!Table10311[[REG. No]:[CITIZ]],6,0)</f>
        <v>15</v>
      </c>
      <c r="H101" s="2">
        <v>11.5</v>
      </c>
      <c r="I101" s="2">
        <f>VLOOKUP(B101,[1]!Table10311[[REG. No]:[FON]],8,0)</f>
        <v>10</v>
      </c>
      <c r="J101" s="2">
        <v>12.5</v>
      </c>
      <c r="K101" s="2">
        <v>7.5</v>
      </c>
      <c r="L101" s="2">
        <v>14.5</v>
      </c>
      <c r="M101" s="2">
        <v>8</v>
      </c>
    </row>
    <row r="102" spans="1:13" ht="15" x14ac:dyDescent="0.25">
      <c r="A102" s="2">
        <v>101</v>
      </c>
      <c r="B102" s="2" t="s">
        <v>214</v>
      </c>
      <c r="C102" s="2" t="s">
        <v>215</v>
      </c>
      <c r="D102" s="2">
        <v>11</v>
      </c>
      <c r="E102" s="2">
        <v>13</v>
      </c>
      <c r="F102" s="2">
        <f>VLOOKUP(B102,[1]!Table10311[[REG. No]:[ENG]],5,0)</f>
        <v>13</v>
      </c>
      <c r="G102" s="2">
        <f>VLOOKUP(B102,[1]!Table10311[[REG. No]:[CITIZ]],6,0)</f>
        <v>14.5</v>
      </c>
      <c r="H102" s="2">
        <v>9.5</v>
      </c>
      <c r="I102" s="2">
        <f>VLOOKUP(B102,[1]!Table10311[[REG. No]:[FON]],8,0)</f>
        <v>8</v>
      </c>
      <c r="J102" s="2">
        <v>9.5</v>
      </c>
      <c r="K102" s="2">
        <v>12</v>
      </c>
      <c r="L102" s="2">
        <v>12.5</v>
      </c>
      <c r="M102" s="2">
        <v>6.5</v>
      </c>
    </row>
    <row r="103" spans="1:13" ht="15" x14ac:dyDescent="0.25">
      <c r="A103" s="2">
        <v>102</v>
      </c>
      <c r="B103" s="2" t="s">
        <v>216</v>
      </c>
      <c r="C103" s="2" t="s">
        <v>217</v>
      </c>
      <c r="D103" s="2">
        <v>15.5</v>
      </c>
      <c r="E103" s="2">
        <v>16</v>
      </c>
      <c r="F103" s="2">
        <f>VLOOKUP(B103,[1]!Table10311[[REG. No]:[ENG]],5,0)</f>
        <v>13.5</v>
      </c>
      <c r="G103" s="2">
        <f>VLOOKUP(B103,[1]!Table10311[[REG. No]:[CITIZ]],6,0)</f>
        <v>13</v>
      </c>
      <c r="H103" s="2">
        <v>13.5</v>
      </c>
      <c r="I103" s="2">
        <f>VLOOKUP(B103,[1]!Table10311[[REG. No]:[FON]],8,0)</f>
        <v>11.5</v>
      </c>
      <c r="J103" s="2">
        <v>13</v>
      </c>
      <c r="K103" s="2">
        <v>14</v>
      </c>
      <c r="L103" s="2">
        <v>14.5</v>
      </c>
      <c r="M103" s="2">
        <v>11</v>
      </c>
    </row>
    <row r="104" spans="1:13" ht="15" x14ac:dyDescent="0.25">
      <c r="A104" s="2">
        <v>103</v>
      </c>
      <c r="B104" s="2" t="s">
        <v>218</v>
      </c>
      <c r="C104" s="2" t="s">
        <v>219</v>
      </c>
      <c r="D104" s="2">
        <v>17.5</v>
      </c>
      <c r="E104" s="2">
        <v>15.5</v>
      </c>
      <c r="F104" s="2">
        <f>VLOOKUP(B104,[1]!Table10311[[REG. No]:[ENG]],5,0)</f>
        <v>14.5</v>
      </c>
      <c r="G104" s="2">
        <f>VLOOKUP(B104,[1]!Table10311[[REG. No]:[CITIZ]],6,0)</f>
        <v>14</v>
      </c>
      <c r="H104" s="2">
        <v>15.5</v>
      </c>
      <c r="I104" s="2">
        <f>VLOOKUP(B104,[1]!Table10311[[REG. No]:[FON]],8,0)</f>
        <v>12</v>
      </c>
      <c r="J104" s="2">
        <v>16</v>
      </c>
      <c r="K104" s="2">
        <v>15.5</v>
      </c>
      <c r="L104" s="2">
        <v>17</v>
      </c>
      <c r="M104" s="2">
        <v>11</v>
      </c>
    </row>
    <row r="105" spans="1:13" ht="15" x14ac:dyDescent="0.25">
      <c r="A105" s="2">
        <v>104</v>
      </c>
      <c r="B105" s="2" t="s">
        <v>220</v>
      </c>
      <c r="C105" s="2" t="s">
        <v>221</v>
      </c>
      <c r="D105" s="2">
        <v>14</v>
      </c>
      <c r="E105" s="2">
        <v>14.5</v>
      </c>
      <c r="F105" s="2">
        <f>VLOOKUP(B105,[1]!Table10311[[REG. No]:[ENG]],5,0)</f>
        <v>11</v>
      </c>
      <c r="G105" s="2">
        <f>VLOOKUP(B105,[1]!Table10311[[REG. No]:[CITIZ]],6,0)</f>
        <v>13</v>
      </c>
      <c r="H105" s="2">
        <v>9</v>
      </c>
      <c r="I105" s="2">
        <f>VLOOKUP(B105,[1]!Table10311[[REG. No]:[FON]],8,0)</f>
        <v>11.5</v>
      </c>
      <c r="J105" s="2">
        <v>12.5</v>
      </c>
      <c r="K105" s="2">
        <v>10</v>
      </c>
      <c r="L105" s="2">
        <v>14</v>
      </c>
      <c r="M105" s="2">
        <v>7.5</v>
      </c>
    </row>
    <row r="106" spans="1:13" ht="15" x14ac:dyDescent="0.25">
      <c r="A106" s="2">
        <v>105</v>
      </c>
      <c r="B106" s="2" t="s">
        <v>222</v>
      </c>
      <c r="C106" s="2" t="s">
        <v>223</v>
      </c>
      <c r="D106" s="2">
        <v>15.5</v>
      </c>
      <c r="E106" s="2">
        <v>13</v>
      </c>
      <c r="F106" s="2">
        <f>VLOOKUP(B106,[1]!Table10311[[REG. No]:[ENG]],5,0)</f>
        <v>13</v>
      </c>
      <c r="G106" s="2">
        <f>VLOOKUP(B106,[1]!Table10311[[REG. No]:[CITIZ]],6,0)</f>
        <v>14</v>
      </c>
      <c r="H106" s="2">
        <v>14.5</v>
      </c>
      <c r="I106" s="2">
        <f>VLOOKUP(B106,[1]!Table10311[[REG. No]:[FON]],8,0)</f>
        <v>12</v>
      </c>
      <c r="J106" s="2">
        <v>14</v>
      </c>
      <c r="K106" s="2">
        <v>11.5</v>
      </c>
      <c r="L106" s="2">
        <v>16.5</v>
      </c>
      <c r="M106" s="2">
        <v>12.5</v>
      </c>
    </row>
    <row r="107" spans="1:13" ht="15" x14ac:dyDescent="0.25">
      <c r="A107" s="2">
        <v>106</v>
      </c>
      <c r="B107" s="2" t="s">
        <v>224</v>
      </c>
      <c r="C107" s="2" t="s">
        <v>225</v>
      </c>
      <c r="D107" s="2">
        <v>14</v>
      </c>
      <c r="E107" s="2">
        <v>15</v>
      </c>
      <c r="F107" s="2">
        <f>VLOOKUP(B107,[1]!Table10311[[REG. No]:[ENG]],5,0)</f>
        <v>13</v>
      </c>
      <c r="G107" s="2">
        <f>VLOOKUP(B107,[1]!Table10311[[REG. No]:[CITIZ]],6,0)</f>
        <v>14.5</v>
      </c>
      <c r="H107" s="2">
        <v>14</v>
      </c>
      <c r="I107" s="2">
        <f>VLOOKUP(B107,[1]!Table10311[[REG. No]:[FON]],8,0)</f>
        <v>12</v>
      </c>
      <c r="J107" s="2">
        <v>13</v>
      </c>
      <c r="K107" s="2">
        <v>15.5</v>
      </c>
      <c r="L107" s="2">
        <v>18.5</v>
      </c>
      <c r="M107" s="2">
        <v>8</v>
      </c>
    </row>
    <row r="108" spans="1:13" ht="15" x14ac:dyDescent="0.25">
      <c r="A108" s="2">
        <v>107</v>
      </c>
      <c r="B108" s="2" t="s">
        <v>226</v>
      </c>
      <c r="C108" s="2" t="s">
        <v>227</v>
      </c>
      <c r="D108" s="2">
        <v>6.5</v>
      </c>
      <c r="E108" s="2">
        <v>12.5</v>
      </c>
      <c r="F108" s="2">
        <f>VLOOKUP(B108,[1]!Table10311[[REG. No]:[ENG]],5,0)</f>
        <v>10.5</v>
      </c>
      <c r="G108" s="2">
        <f>VLOOKUP(B108,[1]!Table10311[[REG. No]:[CITIZ]],6,0)</f>
        <v>11</v>
      </c>
      <c r="H108" s="2">
        <v>7</v>
      </c>
      <c r="I108" s="2">
        <f>VLOOKUP(B108,[1]!Table10311[[REG. No]:[FON]],8,0)</f>
        <v>7.5</v>
      </c>
      <c r="J108" s="2">
        <v>8.5</v>
      </c>
      <c r="K108" s="2">
        <v>8.5</v>
      </c>
      <c r="L108" s="2">
        <v>11.5</v>
      </c>
      <c r="M108" s="2">
        <v>9</v>
      </c>
    </row>
    <row r="109" spans="1:13" ht="15" x14ac:dyDescent="0.25">
      <c r="A109" s="2">
        <v>108</v>
      </c>
      <c r="B109" s="2" t="s">
        <v>228</v>
      </c>
      <c r="C109" s="2" t="s">
        <v>229</v>
      </c>
      <c r="D109" s="2">
        <v>11</v>
      </c>
      <c r="E109" s="2">
        <v>15.5</v>
      </c>
      <c r="F109" s="2">
        <f>VLOOKUP(B109,[1]!Table10311[[REG. No]:[ENG]],5,0)</f>
        <v>13</v>
      </c>
      <c r="G109" s="2">
        <f>VLOOKUP(B109,[1]!Table10311[[REG. No]:[CITIZ]],6,0)</f>
        <v>12.5</v>
      </c>
      <c r="H109" s="2">
        <v>12</v>
      </c>
      <c r="I109" s="2">
        <f>VLOOKUP(B109,[1]!Table10311[[REG. No]:[FON]],8,0)</f>
        <v>11.5</v>
      </c>
      <c r="J109" s="2">
        <v>12.5</v>
      </c>
      <c r="K109" s="2">
        <v>12</v>
      </c>
      <c r="L109" s="2">
        <v>14</v>
      </c>
      <c r="M109" s="2">
        <v>7.5</v>
      </c>
    </row>
    <row r="110" spans="1:13" ht="15" x14ac:dyDescent="0.25">
      <c r="A110" s="2">
        <v>109</v>
      </c>
      <c r="B110" s="2" t="s">
        <v>230</v>
      </c>
      <c r="C110" s="2" t="s">
        <v>231</v>
      </c>
      <c r="D110" s="2">
        <v>6.5</v>
      </c>
      <c r="E110" s="2">
        <v>11</v>
      </c>
      <c r="F110" s="2">
        <f>VLOOKUP(B110,[1]!Table10311[[REG. No]:[ENG]],5,0)</f>
        <v>11.5</v>
      </c>
      <c r="G110" s="2">
        <f>VLOOKUP(B110,[1]!Table10311[[REG. No]:[CITIZ]],6,0)</f>
        <v>16</v>
      </c>
      <c r="H110" s="2">
        <v>10</v>
      </c>
      <c r="I110" s="2">
        <f>VLOOKUP(B110,[1]!Table10311[[REG. No]:[FON]],8,0)</f>
        <v>10</v>
      </c>
      <c r="J110" s="2">
        <v>11</v>
      </c>
      <c r="K110" s="2">
        <v>10</v>
      </c>
      <c r="L110" s="2">
        <v>11.5</v>
      </c>
      <c r="M110" s="2">
        <v>7.5</v>
      </c>
    </row>
    <row r="111" spans="1:13" ht="15" x14ac:dyDescent="0.25">
      <c r="A111" s="2">
        <v>110</v>
      </c>
      <c r="B111" s="2" t="s">
        <v>232</v>
      </c>
      <c r="C111" s="2" t="s">
        <v>233</v>
      </c>
      <c r="D111" s="2">
        <v>9</v>
      </c>
      <c r="E111" s="2">
        <v>8.5</v>
      </c>
      <c r="F111" s="2">
        <f>VLOOKUP(B111,[1]!Table10311[[REG. No]:[ENG]],5,0)</f>
        <v>9</v>
      </c>
      <c r="G111" s="2">
        <f>VLOOKUP(B111,[1]!Table10311[[REG. No]:[CITIZ]],6,0)</f>
        <v>10.5</v>
      </c>
      <c r="H111" s="2">
        <v>8</v>
      </c>
      <c r="I111" s="2">
        <f>VLOOKUP(B111,[1]!Table10311[[REG. No]:[FON]],8,0)</f>
        <v>7.5</v>
      </c>
      <c r="J111" s="2">
        <v>7.5</v>
      </c>
      <c r="K111" s="2">
        <v>6</v>
      </c>
      <c r="L111" s="2">
        <v>18</v>
      </c>
      <c r="M111" s="2">
        <v>5</v>
      </c>
    </row>
    <row r="112" spans="1:13" ht="15" x14ac:dyDescent="0.25">
      <c r="A112" s="2">
        <v>111</v>
      </c>
      <c r="B112" s="2" t="s">
        <v>234</v>
      </c>
      <c r="C112" s="2" t="s">
        <v>235</v>
      </c>
      <c r="D112" s="2">
        <v>9</v>
      </c>
      <c r="E112" s="2">
        <v>15</v>
      </c>
      <c r="F112" s="2">
        <f>VLOOKUP(B112,[1]!Table10311[[REG. No]:[ENG]],5,0)</f>
        <v>14</v>
      </c>
      <c r="G112" s="2">
        <f>VLOOKUP(B112,[1]!Table10311[[REG. No]:[CITIZ]],6,0)</f>
        <v>14</v>
      </c>
      <c r="H112" s="2">
        <v>11</v>
      </c>
      <c r="I112" s="2">
        <f>VLOOKUP(B112,[1]!Table10311[[REG. No]:[FON]],8,0)</f>
        <v>8.5</v>
      </c>
      <c r="J112" s="2">
        <v>10</v>
      </c>
      <c r="K112" s="2">
        <v>7</v>
      </c>
      <c r="L112" s="2">
        <v>12.5</v>
      </c>
      <c r="M112" s="2">
        <v>8</v>
      </c>
    </row>
    <row r="113" spans="1:13" ht="15" x14ac:dyDescent="0.25">
      <c r="A113" s="2">
        <v>112</v>
      </c>
      <c r="B113" s="2" t="s">
        <v>236</v>
      </c>
      <c r="C113" s="2" t="s">
        <v>237</v>
      </c>
      <c r="D113" s="2">
        <v>15</v>
      </c>
      <c r="E113" s="2">
        <v>13</v>
      </c>
      <c r="F113" s="2">
        <f>VLOOKUP(B113,[1]!Table10311[[REG. No]:[ENG]],5,0)</f>
        <v>11.5</v>
      </c>
      <c r="G113" s="2">
        <f>VLOOKUP(B113,[1]!Table10311[[REG. No]:[CITIZ]],6,0)</f>
        <v>15</v>
      </c>
      <c r="H113" s="2">
        <v>14.5</v>
      </c>
      <c r="I113" s="2">
        <f>VLOOKUP(B113,[1]!Table10311[[REG. No]:[FON]],8,0)</f>
        <v>10</v>
      </c>
      <c r="J113" s="2">
        <v>12</v>
      </c>
      <c r="K113" s="2">
        <v>13</v>
      </c>
      <c r="L113" s="2">
        <v>15.5</v>
      </c>
      <c r="M113" s="2">
        <v>7</v>
      </c>
    </row>
    <row r="114" spans="1:13" ht="15" x14ac:dyDescent="0.25">
      <c r="A114" s="2">
        <v>113</v>
      </c>
      <c r="B114" s="2" t="s">
        <v>238</v>
      </c>
      <c r="C114" s="2" t="s">
        <v>239</v>
      </c>
      <c r="D114" s="2">
        <v>14</v>
      </c>
      <c r="E114" s="2">
        <v>13.5</v>
      </c>
      <c r="F114" s="2">
        <f>VLOOKUP(B114,[1]!Table10311[[REG. No]:[ENG]],5,0)</f>
        <v>12</v>
      </c>
      <c r="G114" s="2">
        <f>VLOOKUP(B114,[1]!Table10311[[REG. No]:[CITIZ]],6,0)</f>
        <v>12</v>
      </c>
      <c r="H114" s="2">
        <v>10</v>
      </c>
      <c r="I114" s="2">
        <f>VLOOKUP(B114,[1]!Table10311[[REG. No]:[FON]],8,0)</f>
        <v>9</v>
      </c>
      <c r="J114" s="2">
        <v>11</v>
      </c>
      <c r="K114" s="2">
        <v>7.5</v>
      </c>
      <c r="L114" s="2">
        <v>15.5</v>
      </c>
      <c r="M114" s="2">
        <v>8.5</v>
      </c>
    </row>
    <row r="115" spans="1:13" ht="15" x14ac:dyDescent="0.25">
      <c r="A115" s="2">
        <v>114</v>
      </c>
      <c r="B115" s="2" t="s">
        <v>240</v>
      </c>
      <c r="C115" s="2" t="s">
        <v>241</v>
      </c>
      <c r="D115" s="2">
        <v>11</v>
      </c>
      <c r="E115" s="2">
        <v>12</v>
      </c>
      <c r="F115" s="2">
        <f>VLOOKUP(B115,[1]!Table10311[[REG. No]:[ENG]],5,0)</f>
        <v>14.5</v>
      </c>
      <c r="G115" s="2">
        <f>VLOOKUP(B115,[1]!Table10311[[REG. No]:[CITIZ]],6,0)</f>
        <v>12.5</v>
      </c>
      <c r="H115" s="2">
        <v>13.5</v>
      </c>
      <c r="I115" s="2">
        <f>VLOOKUP(B115,[1]!Table10311[[REG. No]:[FON]],8,0)</f>
        <v>11</v>
      </c>
      <c r="J115" s="2">
        <v>12</v>
      </c>
      <c r="K115" s="2">
        <v>11.5</v>
      </c>
      <c r="L115" s="2">
        <v>14.5</v>
      </c>
      <c r="M115" s="2">
        <v>9</v>
      </c>
    </row>
    <row r="116" spans="1:13" ht="15" x14ac:dyDescent="0.25">
      <c r="A116" s="2">
        <v>115</v>
      </c>
      <c r="B116" s="2" t="s">
        <v>242</v>
      </c>
      <c r="C116" s="2" t="s">
        <v>243</v>
      </c>
      <c r="D116" s="2">
        <v>8</v>
      </c>
      <c r="E116" s="2">
        <v>11.5</v>
      </c>
      <c r="F116" s="2">
        <f>VLOOKUP(B116,[1]!Table10311[[REG. No]:[ENG]],5,0)</f>
        <v>11</v>
      </c>
      <c r="G116" s="2">
        <f>VLOOKUP(B116,[1]!Table10311[[REG. No]:[CITIZ]],6,0)</f>
        <v>10</v>
      </c>
      <c r="H116" s="2">
        <v>7</v>
      </c>
      <c r="I116" s="2">
        <f>VLOOKUP(B116,[1]!Table10311[[REG. No]:[FON]],8,0)</f>
        <v>9.5</v>
      </c>
      <c r="J116" s="2">
        <v>9.5</v>
      </c>
      <c r="K116" s="2">
        <v>9.5</v>
      </c>
      <c r="L116" s="2">
        <v>14</v>
      </c>
      <c r="M116" s="2">
        <v>7</v>
      </c>
    </row>
    <row r="117" spans="1:13" ht="15" x14ac:dyDescent="0.25">
      <c r="A117" s="2">
        <v>116</v>
      </c>
      <c r="B117" s="2" t="s">
        <v>244</v>
      </c>
      <c r="C117" s="2" t="s">
        <v>245</v>
      </c>
      <c r="D117" s="2">
        <v>12.5</v>
      </c>
      <c r="E117" s="2">
        <v>12</v>
      </c>
      <c r="F117" s="2">
        <f>VLOOKUP(B117,[1]!Table10311[[REG. No]:[ENG]],5,0)</f>
        <v>9.5</v>
      </c>
      <c r="G117" s="2">
        <f>VLOOKUP(B117,[1]!Table10311[[REG. No]:[CITIZ]],6,0)</f>
        <v>13</v>
      </c>
      <c r="H117" s="2">
        <v>11.5</v>
      </c>
      <c r="I117" s="2">
        <f>VLOOKUP(B117,[1]!Table10311[[REG. No]:[FON]],8,0)</f>
        <v>7.5</v>
      </c>
      <c r="J117" s="2">
        <v>8.5</v>
      </c>
      <c r="K117" s="2">
        <v>12.5</v>
      </c>
      <c r="L117" s="2">
        <v>12.5</v>
      </c>
      <c r="M117" s="2">
        <v>7</v>
      </c>
    </row>
    <row r="118" spans="1:13" ht="15" x14ac:dyDescent="0.25">
      <c r="A118" s="2">
        <v>117</v>
      </c>
      <c r="B118" s="2" t="s">
        <v>246</v>
      </c>
      <c r="C118" s="2" t="s">
        <v>247</v>
      </c>
      <c r="D118" s="2">
        <v>11.5</v>
      </c>
      <c r="E118" s="2">
        <v>16</v>
      </c>
      <c r="F118" s="2">
        <f>VLOOKUP(B118,[1]!Table10311[[REG. No]:[ENG]],5,0)</f>
        <v>13</v>
      </c>
      <c r="G118" s="2">
        <f>VLOOKUP(B118,[1]!Table10311[[REG. No]:[CITIZ]],6,0)</f>
        <v>15.5</v>
      </c>
      <c r="H118" s="2">
        <v>13</v>
      </c>
      <c r="I118" s="2">
        <f>VLOOKUP(B118,[1]!Table10311[[REG. No]:[FON]],8,0)</f>
        <v>11.5</v>
      </c>
      <c r="J118" s="2">
        <v>11.5</v>
      </c>
      <c r="K118" s="2">
        <v>12.5</v>
      </c>
      <c r="L118" s="2">
        <v>14.5</v>
      </c>
      <c r="M118" s="2">
        <v>8.5</v>
      </c>
    </row>
    <row r="119" spans="1:13" ht="15" x14ac:dyDescent="0.25">
      <c r="A119" s="2">
        <v>118</v>
      </c>
      <c r="B119" s="2" t="s">
        <v>248</v>
      </c>
      <c r="C119" s="2" t="s">
        <v>249</v>
      </c>
      <c r="D119" s="2">
        <v>16.5</v>
      </c>
      <c r="E119" s="2">
        <v>16.5</v>
      </c>
      <c r="F119" s="2">
        <f>VLOOKUP(B119,[1]!Table10311[[REG. No]:[ENG]],5,0)</f>
        <v>13</v>
      </c>
      <c r="G119" s="2">
        <f>VLOOKUP(B119,[1]!Table10311[[REG. No]:[CITIZ]],6,0)</f>
        <v>12</v>
      </c>
      <c r="H119" s="2">
        <v>15.5</v>
      </c>
      <c r="I119" s="2">
        <f>VLOOKUP(B119,[1]!Table10311[[REG. No]:[FON]],8,0)</f>
        <v>13</v>
      </c>
      <c r="J119" s="2">
        <v>12.5</v>
      </c>
      <c r="K119" s="2">
        <v>11.5</v>
      </c>
      <c r="L119" s="2">
        <v>15</v>
      </c>
      <c r="M119" s="2">
        <v>10.5</v>
      </c>
    </row>
    <row r="120" spans="1:13" ht="15" x14ac:dyDescent="0.25">
      <c r="A120" s="2">
        <v>119</v>
      </c>
      <c r="B120" s="2" t="s">
        <v>250</v>
      </c>
      <c r="C120" s="2" t="s">
        <v>251</v>
      </c>
      <c r="D120" s="2">
        <v>10.5</v>
      </c>
      <c r="E120" s="2">
        <v>9.5</v>
      </c>
      <c r="F120" s="2">
        <f>VLOOKUP(B120,[1]!Table10311[[REG. No]:[ENG]],5,0)</f>
        <v>10.5</v>
      </c>
      <c r="G120" s="2">
        <f>VLOOKUP(B120,[1]!Table10311[[REG. No]:[CITIZ]],6,0)</f>
        <v>10</v>
      </c>
      <c r="H120" s="2">
        <v>10</v>
      </c>
      <c r="I120" s="2">
        <f>VLOOKUP(B120,[1]!Table10311[[REG. No]:[FON]],8,0)</f>
        <v>8.5</v>
      </c>
      <c r="J120" s="2">
        <v>11</v>
      </c>
      <c r="K120" s="2">
        <v>6.5</v>
      </c>
      <c r="L120" s="2">
        <v>15.5</v>
      </c>
      <c r="M120" s="2">
        <v>10.5</v>
      </c>
    </row>
    <row r="121" spans="1:13" ht="15" x14ac:dyDescent="0.25">
      <c r="A121" s="2">
        <v>120</v>
      </c>
      <c r="B121" s="2" t="s">
        <v>252</v>
      </c>
      <c r="C121" s="2" t="s">
        <v>253</v>
      </c>
      <c r="D121" s="2">
        <v>16</v>
      </c>
      <c r="E121" s="2">
        <v>16.5</v>
      </c>
      <c r="F121" s="2">
        <f>VLOOKUP(B121,[1]!Table10311[[REG. No]:[ENG]],5,0)</f>
        <v>14</v>
      </c>
      <c r="G121" s="2">
        <f>VLOOKUP(B121,[1]!Table10311[[REG. No]:[CITIZ]],6,0)</f>
        <v>14.5</v>
      </c>
      <c r="H121" s="2">
        <v>10.5</v>
      </c>
      <c r="I121" s="2">
        <f>VLOOKUP(B121,[1]!Table10311[[REG. No]:[FON]],8,0)</f>
        <v>11.5</v>
      </c>
      <c r="J121" s="2">
        <v>11.5</v>
      </c>
      <c r="K121" s="2">
        <v>12</v>
      </c>
      <c r="L121" s="2">
        <v>16.5</v>
      </c>
      <c r="M121" s="2">
        <v>10</v>
      </c>
    </row>
    <row r="122" spans="1:13" ht="15" x14ac:dyDescent="0.25">
      <c r="A122" s="2">
        <v>121</v>
      </c>
      <c r="B122" s="2" t="s">
        <v>254</v>
      </c>
      <c r="C122" s="2" t="s">
        <v>255</v>
      </c>
      <c r="D122" s="2">
        <v>8</v>
      </c>
      <c r="E122" s="2">
        <v>10.5</v>
      </c>
      <c r="F122" s="2">
        <f>VLOOKUP(B122,[1]!Table10311[[REG. No]:[ENG]],5,0)</f>
        <v>10</v>
      </c>
      <c r="G122" s="2">
        <f>VLOOKUP(B122,[1]!Table10311[[REG. No]:[CITIZ]],6,0)</f>
        <v>12.5</v>
      </c>
      <c r="H122" s="2">
        <v>9.5</v>
      </c>
      <c r="I122" s="2">
        <f>VLOOKUP(B122,[1]!Table10311[[REG. No]:[FON]],8,0)</f>
        <v>7</v>
      </c>
      <c r="J122" s="2">
        <v>9.5</v>
      </c>
      <c r="K122" s="2">
        <v>8</v>
      </c>
      <c r="L122" s="2">
        <v>14</v>
      </c>
      <c r="M122" s="2">
        <v>6</v>
      </c>
    </row>
    <row r="123" spans="1:13" ht="15" x14ac:dyDescent="0.25">
      <c r="A123" s="2">
        <v>122</v>
      </c>
      <c r="B123" s="2" t="s">
        <v>256</v>
      </c>
      <c r="C123" s="2" t="s">
        <v>257</v>
      </c>
      <c r="D123" s="2">
        <v>5</v>
      </c>
      <c r="E123" s="2">
        <v>11</v>
      </c>
      <c r="F123" s="2">
        <f>VLOOKUP(B123,[1]!Table10311[[REG. No]:[ENG]],5,0)</f>
        <v>12</v>
      </c>
      <c r="G123" s="2">
        <f>VLOOKUP(B123,[1]!Table10311[[REG. No]:[CITIZ]],6,0)</f>
        <v>10.5</v>
      </c>
      <c r="H123" s="2">
        <v>7.5</v>
      </c>
      <c r="I123" s="2">
        <f>VLOOKUP(B123,[1]!Table10311[[REG. No]:[FON]],8,0)</f>
        <v>9</v>
      </c>
      <c r="J123" s="2">
        <v>9.5</v>
      </c>
      <c r="K123" s="2">
        <v>9</v>
      </c>
      <c r="L123" s="2">
        <v>16.5</v>
      </c>
      <c r="M123" s="2">
        <v>7.5</v>
      </c>
    </row>
    <row r="124" spans="1:13" ht="15" x14ac:dyDescent="0.25">
      <c r="A124" s="2">
        <v>123</v>
      </c>
      <c r="B124" s="2" t="s">
        <v>258</v>
      </c>
      <c r="C124" s="2" t="s">
        <v>259</v>
      </c>
      <c r="D124" s="2">
        <v>9</v>
      </c>
      <c r="E124" s="2">
        <v>13</v>
      </c>
      <c r="F124" s="2">
        <f>VLOOKUP(B124,[1]!Table10311[[REG. No]:[ENG]],5,0)</f>
        <v>11.5</v>
      </c>
      <c r="G124" s="2">
        <f>VLOOKUP(B124,[1]!Table10311[[REG. No]:[CITIZ]],6,0)</f>
        <v>11</v>
      </c>
      <c r="H124" s="2">
        <v>11</v>
      </c>
      <c r="I124" s="2">
        <f>VLOOKUP(B124,[1]!Table10311[[REG. No]:[FON]],8,0)</f>
        <v>10</v>
      </c>
      <c r="J124" s="2">
        <v>11.5</v>
      </c>
      <c r="K124" s="2">
        <v>9.5</v>
      </c>
      <c r="L124" s="2">
        <v>15</v>
      </c>
      <c r="M124" s="2">
        <v>7.5</v>
      </c>
    </row>
    <row r="125" spans="1:13" ht="15" x14ac:dyDescent="0.25">
      <c r="A125" s="2">
        <v>124</v>
      </c>
      <c r="B125" s="2" t="s">
        <v>260</v>
      </c>
      <c r="C125" s="2" t="s">
        <v>261</v>
      </c>
      <c r="D125" s="2">
        <v>13</v>
      </c>
      <c r="E125" s="2">
        <v>16.5</v>
      </c>
      <c r="F125" s="2">
        <f>VLOOKUP(B125,[1]!Table10311[[REG. No]:[ENG]],5,0)</f>
        <v>15.5</v>
      </c>
      <c r="G125" s="2">
        <f>VLOOKUP(B125,[1]!Table10311[[REG. No]:[CITIZ]],6,0)</f>
        <v>16.5</v>
      </c>
      <c r="H125" s="2">
        <v>12.5</v>
      </c>
      <c r="I125" s="2">
        <f>VLOOKUP(B125,[1]!Table10311[[REG. No]:[FON]],8,0)</f>
        <v>15</v>
      </c>
      <c r="J125" s="2">
        <v>11</v>
      </c>
      <c r="K125" s="2">
        <v>13</v>
      </c>
      <c r="L125" s="2">
        <v>17</v>
      </c>
      <c r="M125" s="2">
        <v>10</v>
      </c>
    </row>
    <row r="126" spans="1:13" ht="15" x14ac:dyDescent="0.25">
      <c r="A126" s="2">
        <v>125</v>
      </c>
      <c r="B126" s="2" t="s">
        <v>262</v>
      </c>
      <c r="C126" s="2" t="s">
        <v>263</v>
      </c>
      <c r="D126" s="2">
        <v>12</v>
      </c>
      <c r="E126" s="2">
        <v>14.5</v>
      </c>
      <c r="F126" s="2">
        <f>VLOOKUP(B126,[1]!Table10311[[REG. No]:[ENG]],5,0)</f>
        <v>11.5</v>
      </c>
      <c r="G126" s="2">
        <f>VLOOKUP(B126,[1]!Table10311[[REG. No]:[CITIZ]],6,0)</f>
        <v>13</v>
      </c>
      <c r="H126" s="2">
        <v>9.5</v>
      </c>
      <c r="I126" s="2">
        <f>VLOOKUP(B126,[1]!Table10311[[REG. No]:[FON]],8,0)</f>
        <v>9.5</v>
      </c>
      <c r="J126" s="2">
        <v>10.5</v>
      </c>
      <c r="K126" s="2">
        <v>9.5</v>
      </c>
      <c r="L126" s="2">
        <v>15</v>
      </c>
      <c r="M126" s="2">
        <v>10</v>
      </c>
    </row>
    <row r="127" spans="1:13" ht="15" x14ac:dyDescent="0.25">
      <c r="A127" s="2">
        <v>126</v>
      </c>
      <c r="B127" s="2" t="s">
        <v>264</v>
      </c>
      <c r="C127" s="2" t="s">
        <v>265</v>
      </c>
      <c r="D127" s="2">
        <v>10.5</v>
      </c>
      <c r="E127" s="2">
        <v>15.5</v>
      </c>
      <c r="F127" s="2">
        <f>VLOOKUP(B127,[1]!Table10311[[REG. No]:[ENG]],5,0)</f>
        <v>14.5</v>
      </c>
      <c r="G127" s="2">
        <f>VLOOKUP(B127,[1]!Table10311[[REG. No]:[CITIZ]],6,0)</f>
        <v>16.5</v>
      </c>
      <c r="H127" s="2">
        <v>14</v>
      </c>
      <c r="I127" s="2">
        <f>VLOOKUP(B127,[1]!Table10311[[REG. No]:[FON]],8,0)</f>
        <v>11</v>
      </c>
      <c r="J127" s="2">
        <v>11.5</v>
      </c>
      <c r="K127" s="2">
        <v>9</v>
      </c>
      <c r="L127" s="2">
        <v>17</v>
      </c>
      <c r="M127" s="2">
        <v>13.5</v>
      </c>
    </row>
    <row r="128" spans="1:13" ht="15" x14ac:dyDescent="0.25">
      <c r="A128" s="2">
        <v>127</v>
      </c>
      <c r="B128" s="2" t="s">
        <v>266</v>
      </c>
      <c r="C128" s="2" t="s">
        <v>267</v>
      </c>
      <c r="D128" s="2">
        <v>10</v>
      </c>
      <c r="E128" s="2">
        <v>14.5</v>
      </c>
      <c r="F128" s="2">
        <f>VLOOKUP(B128,[1]!Table10311[[REG. No]:[ENG]],5,0)</f>
        <v>11</v>
      </c>
      <c r="G128" s="2">
        <f>VLOOKUP(B128,[1]!Table10311[[REG. No]:[CITIZ]],6,0)</f>
        <v>13</v>
      </c>
      <c r="H128" s="2">
        <v>9.5</v>
      </c>
      <c r="I128" s="2">
        <f>VLOOKUP(B128,[1]!Table10311[[REG. No]:[FON]],8,0)</f>
        <v>9</v>
      </c>
      <c r="J128" s="2">
        <v>10</v>
      </c>
      <c r="K128" s="2">
        <v>11.5</v>
      </c>
      <c r="L128" s="2">
        <v>14.5</v>
      </c>
      <c r="M128" s="2">
        <v>9.5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8"/>
  <sheetViews>
    <sheetView tabSelected="1" topLeftCell="B66" zoomScale="115" zoomScaleNormal="115" workbookViewId="0">
      <selection activeCell="G123" sqref="G123"/>
    </sheetView>
  </sheetViews>
  <sheetFormatPr defaultRowHeight="14.5" x14ac:dyDescent="0.35"/>
  <cols>
    <col min="1" max="1" width="3.81640625" bestFit="1" customWidth="1"/>
    <col min="2" max="2" width="26.453125" customWidth="1"/>
    <col min="3" max="3" width="45.453125" bestFit="1" customWidth="1"/>
    <col min="4" max="4" width="17.81640625" bestFit="1" customWidth="1"/>
    <col min="5" max="5" width="22.453125" bestFit="1" customWidth="1"/>
    <col min="6" max="6" width="27.1796875" bestFit="1" customWidth="1"/>
    <col min="7" max="7" width="22.54296875" bestFit="1" customWidth="1"/>
    <col min="8" max="8" width="17.81640625" bestFit="1" customWidth="1"/>
    <col min="9" max="9" width="20.54296875" bestFit="1" customWidth="1"/>
    <col min="10" max="10" width="14.81640625" bestFit="1" customWidth="1"/>
    <col min="11" max="11" width="19.7265625" bestFit="1" customWidth="1"/>
    <col min="12" max="12" width="16.81640625" bestFit="1" customWidth="1"/>
    <col min="13" max="13" width="27.26953125" bestFit="1" customWidth="1"/>
  </cols>
  <sheetData>
    <row r="1" spans="1:13" ht="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ht="15.75" x14ac:dyDescent="0.25">
      <c r="A2">
        <v>1</v>
      </c>
      <c r="B2" s="1" t="s">
        <v>14</v>
      </c>
      <c r="C2" s="1" t="s">
        <v>15</v>
      </c>
      <c r="D2">
        <v>60</v>
      </c>
      <c r="E2">
        <v>45</v>
      </c>
      <c r="F2">
        <v>53</v>
      </c>
      <c r="G2">
        <v>56</v>
      </c>
      <c r="H2">
        <v>66</v>
      </c>
      <c r="I2">
        <v>41</v>
      </c>
      <c r="J2">
        <v>52</v>
      </c>
      <c r="K2">
        <v>51.5</v>
      </c>
      <c r="L2">
        <v>59</v>
      </c>
      <c r="M2">
        <v>63</v>
      </c>
    </row>
    <row r="3" spans="1:13" ht="15.75" x14ac:dyDescent="0.25">
      <c r="A3">
        <v>2</v>
      </c>
      <c r="B3" s="1" t="s">
        <v>16</v>
      </c>
      <c r="C3" s="1" t="s">
        <v>17</v>
      </c>
      <c r="D3">
        <v>39</v>
      </c>
      <c r="E3">
        <v>9.5</v>
      </c>
      <c r="F3">
        <v>23</v>
      </c>
      <c r="G3">
        <v>29</v>
      </c>
      <c r="H3">
        <v>15.5</v>
      </c>
      <c r="I3">
        <v>25.5</v>
      </c>
      <c r="J3">
        <v>35</v>
      </c>
      <c r="K3">
        <v>20.5</v>
      </c>
      <c r="L3">
        <v>35</v>
      </c>
      <c r="M3">
        <v>62</v>
      </c>
    </row>
    <row r="4" spans="1:13" ht="15.75" x14ac:dyDescent="0.25">
      <c r="A4">
        <v>3</v>
      </c>
      <c r="B4" s="1" t="s">
        <v>18</v>
      </c>
      <c r="C4" s="1" t="s">
        <v>19</v>
      </c>
      <c r="D4">
        <v>48</v>
      </c>
      <c r="E4">
        <v>46</v>
      </c>
      <c r="F4">
        <v>43</v>
      </c>
      <c r="G4">
        <v>41</v>
      </c>
      <c r="H4">
        <v>48</v>
      </c>
      <c r="I4">
        <v>30</v>
      </c>
      <c r="J4">
        <v>40</v>
      </c>
      <c r="K4">
        <v>37.5</v>
      </c>
      <c r="L4">
        <v>51</v>
      </c>
      <c r="M4">
        <v>66</v>
      </c>
    </row>
    <row r="5" spans="1:13" ht="15.75" x14ac:dyDescent="0.25">
      <c r="A5">
        <v>4</v>
      </c>
      <c r="B5" s="1" t="s">
        <v>20</v>
      </c>
      <c r="C5" s="1" t="s">
        <v>21</v>
      </c>
      <c r="D5">
        <v>59.5</v>
      </c>
      <c r="E5">
        <v>45</v>
      </c>
      <c r="F5">
        <v>53.5</v>
      </c>
      <c r="G5">
        <v>51</v>
      </c>
      <c r="H5">
        <v>51</v>
      </c>
      <c r="I5">
        <v>32.5</v>
      </c>
      <c r="J5">
        <v>48.5</v>
      </c>
      <c r="K5">
        <v>51.5</v>
      </c>
      <c r="L5">
        <v>63</v>
      </c>
      <c r="M5">
        <v>64</v>
      </c>
    </row>
    <row r="6" spans="1:13" ht="15.75" x14ac:dyDescent="0.25">
      <c r="A6">
        <v>5</v>
      </c>
      <c r="B6" s="1" t="s">
        <v>22</v>
      </c>
      <c r="C6" s="1" t="s">
        <v>23</v>
      </c>
      <c r="D6">
        <v>44</v>
      </c>
      <c r="E6">
        <v>47.5</v>
      </c>
      <c r="F6">
        <v>55</v>
      </c>
      <c r="G6">
        <v>51.5</v>
      </c>
      <c r="H6">
        <v>51.5</v>
      </c>
      <c r="I6">
        <v>29</v>
      </c>
      <c r="J6">
        <v>32.5</v>
      </c>
      <c r="K6">
        <v>55</v>
      </c>
      <c r="L6">
        <v>49.5</v>
      </c>
      <c r="M6">
        <v>68</v>
      </c>
    </row>
    <row r="7" spans="1:13" ht="15.75" x14ac:dyDescent="0.25">
      <c r="A7">
        <v>6</v>
      </c>
      <c r="B7" s="1" t="s">
        <v>24</v>
      </c>
      <c r="C7" s="1" t="s">
        <v>25</v>
      </c>
      <c r="D7">
        <v>58.5</v>
      </c>
      <c r="E7">
        <v>34.5</v>
      </c>
      <c r="F7">
        <v>50</v>
      </c>
      <c r="G7">
        <v>45</v>
      </c>
      <c r="H7">
        <v>33</v>
      </c>
      <c r="I7">
        <v>34</v>
      </c>
      <c r="J7">
        <v>29.5</v>
      </c>
      <c r="K7">
        <v>48</v>
      </c>
      <c r="L7">
        <v>32</v>
      </c>
      <c r="M7">
        <v>57</v>
      </c>
    </row>
    <row r="8" spans="1:13" ht="15.75" x14ac:dyDescent="0.25">
      <c r="A8">
        <v>7</v>
      </c>
      <c r="B8" s="1" t="s">
        <v>26</v>
      </c>
      <c r="C8" s="1" t="s">
        <v>27</v>
      </c>
      <c r="D8">
        <v>69.5</v>
      </c>
      <c r="E8">
        <v>56</v>
      </c>
      <c r="F8">
        <v>59.5</v>
      </c>
      <c r="G8">
        <v>61</v>
      </c>
      <c r="H8">
        <v>62</v>
      </c>
      <c r="I8">
        <v>30.5</v>
      </c>
      <c r="J8">
        <v>58</v>
      </c>
      <c r="K8">
        <v>57</v>
      </c>
      <c r="L8">
        <v>58</v>
      </c>
      <c r="M8">
        <v>70</v>
      </c>
    </row>
    <row r="9" spans="1:13" ht="15.75" x14ac:dyDescent="0.25">
      <c r="A9">
        <v>8</v>
      </c>
      <c r="B9" s="1" t="s">
        <v>28</v>
      </c>
      <c r="C9" s="1" t="s">
        <v>29</v>
      </c>
      <c r="D9">
        <v>56.5</v>
      </c>
      <c r="E9">
        <v>38</v>
      </c>
      <c r="F9">
        <v>44.5</v>
      </c>
      <c r="G9">
        <v>47</v>
      </c>
      <c r="H9">
        <v>56.5</v>
      </c>
      <c r="I9">
        <v>26</v>
      </c>
      <c r="J9">
        <v>48.5</v>
      </c>
      <c r="K9">
        <v>44.5</v>
      </c>
      <c r="L9">
        <v>42</v>
      </c>
      <c r="M9">
        <v>62</v>
      </c>
    </row>
    <row r="10" spans="1:13" ht="15.75" x14ac:dyDescent="0.25">
      <c r="A10">
        <v>9</v>
      </c>
      <c r="B10" s="1" t="s">
        <v>30</v>
      </c>
      <c r="C10" s="1" t="s">
        <v>31</v>
      </c>
      <c r="D10">
        <v>22.5</v>
      </c>
      <c r="E10">
        <v>15</v>
      </c>
      <c r="F10">
        <v>14.5</v>
      </c>
      <c r="G10">
        <v>36.5</v>
      </c>
      <c r="H10">
        <v>36</v>
      </c>
      <c r="I10">
        <v>28</v>
      </c>
      <c r="J10">
        <v>26</v>
      </c>
      <c r="K10">
        <v>28.5</v>
      </c>
      <c r="L10">
        <v>48.5</v>
      </c>
      <c r="M10">
        <v>61</v>
      </c>
    </row>
    <row r="11" spans="1:13" ht="15.75" x14ac:dyDescent="0.25">
      <c r="A11">
        <v>10</v>
      </c>
      <c r="B11" s="1" t="s">
        <v>32</v>
      </c>
      <c r="C11" s="1" t="s">
        <v>33</v>
      </c>
      <c r="D11">
        <v>45</v>
      </c>
      <c r="E11">
        <v>41</v>
      </c>
      <c r="F11">
        <v>55.5</v>
      </c>
      <c r="G11">
        <v>31</v>
      </c>
      <c r="H11">
        <v>40.5</v>
      </c>
      <c r="I11">
        <v>26</v>
      </c>
      <c r="J11">
        <v>17</v>
      </c>
      <c r="K11">
        <v>51</v>
      </c>
      <c r="L11">
        <v>42</v>
      </c>
      <c r="M11">
        <v>61</v>
      </c>
    </row>
    <row r="12" spans="1:13" ht="15.75" x14ac:dyDescent="0.25">
      <c r="A12">
        <v>11</v>
      </c>
      <c r="B12" s="1" t="s">
        <v>34</v>
      </c>
      <c r="C12" s="1" t="s">
        <v>35</v>
      </c>
      <c r="D12">
        <v>62.5</v>
      </c>
      <c r="E12">
        <v>46</v>
      </c>
      <c r="F12">
        <v>63.5</v>
      </c>
      <c r="G12">
        <v>49</v>
      </c>
      <c r="H12">
        <v>63.5</v>
      </c>
      <c r="I12">
        <v>39.5</v>
      </c>
      <c r="J12">
        <v>52.5</v>
      </c>
      <c r="K12">
        <v>61</v>
      </c>
      <c r="L12">
        <v>30.5</v>
      </c>
      <c r="M12">
        <v>61</v>
      </c>
    </row>
    <row r="13" spans="1:13" ht="15.75" x14ac:dyDescent="0.25">
      <c r="A13">
        <v>12</v>
      </c>
      <c r="B13" s="1" t="s">
        <v>36</v>
      </c>
      <c r="C13" s="1" t="s">
        <v>37</v>
      </c>
      <c r="D13">
        <v>38.54</v>
      </c>
      <c r="E13">
        <v>11</v>
      </c>
      <c r="F13">
        <v>7</v>
      </c>
      <c r="G13">
        <v>22</v>
      </c>
      <c r="H13">
        <v>11.5</v>
      </c>
      <c r="I13">
        <v>15</v>
      </c>
      <c r="J13">
        <v>27.5</v>
      </c>
      <c r="K13">
        <v>33.5</v>
      </c>
      <c r="L13">
        <v>22</v>
      </c>
      <c r="M13">
        <v>63</v>
      </c>
    </row>
    <row r="14" spans="1:13" ht="15.75" x14ac:dyDescent="0.25">
      <c r="A14">
        <v>13</v>
      </c>
      <c r="B14" s="1" t="s">
        <v>38</v>
      </c>
      <c r="C14" s="1" t="s">
        <v>39</v>
      </c>
      <c r="D14">
        <v>45.5</v>
      </c>
      <c r="E14">
        <v>39</v>
      </c>
      <c r="F14">
        <v>50</v>
      </c>
      <c r="G14">
        <v>42</v>
      </c>
      <c r="H14">
        <v>43.5</v>
      </c>
      <c r="I14">
        <v>31.5</v>
      </c>
      <c r="J14">
        <v>44.5</v>
      </c>
      <c r="K14">
        <v>51.5</v>
      </c>
      <c r="L14">
        <v>53</v>
      </c>
      <c r="M14">
        <v>60</v>
      </c>
    </row>
    <row r="15" spans="1:13" ht="15.75" x14ac:dyDescent="0.25">
      <c r="A15">
        <v>14</v>
      </c>
      <c r="B15" s="1" t="s">
        <v>40</v>
      </c>
      <c r="C15" s="1" t="s">
        <v>41</v>
      </c>
      <c r="D15">
        <v>47.5</v>
      </c>
      <c r="E15">
        <v>40</v>
      </c>
      <c r="F15">
        <v>40.5</v>
      </c>
      <c r="G15">
        <v>39</v>
      </c>
      <c r="H15">
        <v>31.5</v>
      </c>
      <c r="I15">
        <v>29</v>
      </c>
      <c r="J15">
        <v>36</v>
      </c>
      <c r="K15">
        <v>61</v>
      </c>
      <c r="L15">
        <v>30.5</v>
      </c>
      <c r="M15">
        <v>65</v>
      </c>
    </row>
    <row r="16" spans="1:13" ht="15.75" x14ac:dyDescent="0.25">
      <c r="A16">
        <v>15</v>
      </c>
      <c r="B16" s="1" t="s">
        <v>42</v>
      </c>
      <c r="C16" s="1" t="s">
        <v>43</v>
      </c>
      <c r="D16">
        <v>35.5</v>
      </c>
      <c r="E16">
        <v>33</v>
      </c>
      <c r="F16">
        <v>33.5</v>
      </c>
      <c r="G16">
        <v>42</v>
      </c>
      <c r="H16">
        <v>37</v>
      </c>
      <c r="I16">
        <v>29</v>
      </c>
      <c r="J16">
        <v>51.5</v>
      </c>
      <c r="K16">
        <v>38.5</v>
      </c>
      <c r="L16">
        <v>24.5</v>
      </c>
      <c r="M16">
        <v>56</v>
      </c>
    </row>
    <row r="17" spans="1:13" ht="15.75" x14ac:dyDescent="0.25">
      <c r="A17">
        <v>16</v>
      </c>
      <c r="B17" s="1" t="s">
        <v>44</v>
      </c>
      <c r="C17" s="1" t="s">
        <v>45</v>
      </c>
      <c r="D17">
        <v>47.5</v>
      </c>
      <c r="E17">
        <v>11</v>
      </c>
      <c r="F17">
        <v>50.5</v>
      </c>
      <c r="G17">
        <v>29</v>
      </c>
      <c r="H17">
        <v>41</v>
      </c>
      <c r="I17">
        <v>17.5</v>
      </c>
      <c r="J17">
        <v>28.5</v>
      </c>
      <c r="K17">
        <v>33</v>
      </c>
      <c r="L17">
        <v>35</v>
      </c>
      <c r="M17">
        <v>67</v>
      </c>
    </row>
    <row r="18" spans="1:13" ht="15.75" x14ac:dyDescent="0.25">
      <c r="A18">
        <v>17</v>
      </c>
      <c r="B18" s="1" t="s">
        <v>46</v>
      </c>
      <c r="C18" s="1" t="s">
        <v>47</v>
      </c>
      <c r="D18">
        <v>48</v>
      </c>
      <c r="E18">
        <v>33</v>
      </c>
      <c r="F18">
        <v>52.5</v>
      </c>
      <c r="G18">
        <v>44</v>
      </c>
      <c r="H18">
        <v>51.5</v>
      </c>
      <c r="I18">
        <v>31</v>
      </c>
      <c r="J18">
        <v>33.5</v>
      </c>
      <c r="K18">
        <v>51</v>
      </c>
      <c r="L18">
        <v>42</v>
      </c>
      <c r="M18">
        <v>66</v>
      </c>
    </row>
    <row r="19" spans="1:13" ht="15.75" x14ac:dyDescent="0.25">
      <c r="A19">
        <v>18</v>
      </c>
      <c r="B19" s="1" t="s">
        <v>48</v>
      </c>
      <c r="C19" s="1" t="s">
        <v>49</v>
      </c>
      <c r="D19">
        <v>9</v>
      </c>
      <c r="E19">
        <v>8</v>
      </c>
      <c r="F19">
        <v>11.5</v>
      </c>
      <c r="G19">
        <v>10.5</v>
      </c>
      <c r="H19">
        <v>4</v>
      </c>
      <c r="I19">
        <v>14.5</v>
      </c>
      <c r="J19">
        <v>17</v>
      </c>
      <c r="K19">
        <v>12.5</v>
      </c>
      <c r="L19">
        <v>6.5</v>
      </c>
      <c r="M19">
        <v>51</v>
      </c>
    </row>
    <row r="20" spans="1:13" ht="15.75" x14ac:dyDescent="0.25">
      <c r="A20">
        <v>19</v>
      </c>
      <c r="B20" s="1" t="s">
        <v>50</v>
      </c>
      <c r="C20" s="1" t="s">
        <v>51</v>
      </c>
      <c r="D20">
        <v>47</v>
      </c>
      <c r="E20">
        <v>38</v>
      </c>
      <c r="F20">
        <v>53.5</v>
      </c>
      <c r="G20">
        <v>46</v>
      </c>
      <c r="H20">
        <v>41</v>
      </c>
      <c r="I20">
        <v>28.75</v>
      </c>
      <c r="J20">
        <v>31.5</v>
      </c>
      <c r="K20">
        <v>44</v>
      </c>
      <c r="L20">
        <v>45.5</v>
      </c>
      <c r="M20">
        <v>63</v>
      </c>
    </row>
    <row r="21" spans="1:13" ht="15.75" x14ac:dyDescent="0.25">
      <c r="A21">
        <v>20</v>
      </c>
      <c r="B21" s="1" t="s">
        <v>52</v>
      </c>
      <c r="C21" s="1" t="s">
        <v>53</v>
      </c>
      <c r="D21">
        <v>55</v>
      </c>
      <c r="E21">
        <v>39</v>
      </c>
      <c r="F21">
        <v>46</v>
      </c>
      <c r="G21">
        <v>48.5</v>
      </c>
      <c r="H21">
        <v>53</v>
      </c>
      <c r="I21">
        <v>27.5</v>
      </c>
      <c r="J21">
        <v>47.5</v>
      </c>
      <c r="K21">
        <v>45</v>
      </c>
      <c r="L21">
        <v>33</v>
      </c>
      <c r="M21">
        <v>66</v>
      </c>
    </row>
    <row r="22" spans="1:13" ht="15.75" x14ac:dyDescent="0.25">
      <c r="A22">
        <v>21</v>
      </c>
      <c r="B22" s="1" t="s">
        <v>54</v>
      </c>
      <c r="C22" s="1" t="s">
        <v>55</v>
      </c>
      <c r="D22">
        <v>51</v>
      </c>
      <c r="E22">
        <v>39</v>
      </c>
      <c r="F22">
        <v>29</v>
      </c>
      <c r="G22">
        <v>48</v>
      </c>
      <c r="H22">
        <v>45</v>
      </c>
      <c r="I22">
        <v>32.5</v>
      </c>
      <c r="J22">
        <v>50</v>
      </c>
      <c r="K22">
        <v>52</v>
      </c>
      <c r="L22">
        <v>48</v>
      </c>
      <c r="M22">
        <v>56</v>
      </c>
    </row>
    <row r="23" spans="1:13" ht="15.75" x14ac:dyDescent="0.25">
      <c r="A23">
        <v>22</v>
      </c>
      <c r="B23" s="1" t="s">
        <v>56</v>
      </c>
      <c r="C23" s="1" t="s">
        <v>57</v>
      </c>
      <c r="D23">
        <v>45.5</v>
      </c>
      <c r="E23">
        <v>37</v>
      </c>
      <c r="F23">
        <v>54</v>
      </c>
      <c r="G23">
        <v>36</v>
      </c>
      <c r="H23">
        <v>50</v>
      </c>
      <c r="I23">
        <v>32</v>
      </c>
      <c r="J23">
        <v>44</v>
      </c>
      <c r="K23">
        <v>43.5</v>
      </c>
      <c r="L23">
        <v>30.5</v>
      </c>
      <c r="M23">
        <v>63</v>
      </c>
    </row>
    <row r="24" spans="1:13" ht="15.75" x14ac:dyDescent="0.25">
      <c r="A24">
        <v>23</v>
      </c>
      <c r="B24" s="1" t="s">
        <v>58</v>
      </c>
      <c r="C24" s="1" t="s">
        <v>59</v>
      </c>
      <c r="D24">
        <v>32</v>
      </c>
      <c r="E24">
        <v>9</v>
      </c>
      <c r="F24">
        <v>17.5</v>
      </c>
      <c r="G24">
        <v>24</v>
      </c>
      <c r="H24">
        <v>18</v>
      </c>
      <c r="I24">
        <v>15</v>
      </c>
      <c r="J24">
        <v>23</v>
      </c>
      <c r="K24">
        <v>20.5</v>
      </c>
      <c r="L24">
        <v>9</v>
      </c>
      <c r="M24">
        <v>57</v>
      </c>
    </row>
    <row r="25" spans="1:13" ht="15.75" x14ac:dyDescent="0.25">
      <c r="A25">
        <v>24</v>
      </c>
      <c r="B25" s="1" t="s">
        <v>60</v>
      </c>
      <c r="C25" s="1" t="s">
        <v>61</v>
      </c>
      <c r="D25">
        <v>48</v>
      </c>
      <c r="E25">
        <v>39.5</v>
      </c>
      <c r="F25">
        <v>54.5</v>
      </c>
      <c r="G25">
        <v>54</v>
      </c>
      <c r="H25">
        <v>47</v>
      </c>
      <c r="I25">
        <v>34.5</v>
      </c>
      <c r="J25">
        <v>35</v>
      </c>
      <c r="K25">
        <v>47.5</v>
      </c>
      <c r="L25">
        <v>47</v>
      </c>
      <c r="M25">
        <v>66</v>
      </c>
    </row>
    <row r="26" spans="1:13" ht="15.75" x14ac:dyDescent="0.25">
      <c r="A26">
        <v>25</v>
      </c>
      <c r="B26" s="1" t="s">
        <v>62</v>
      </c>
      <c r="C26" s="1" t="s">
        <v>63</v>
      </c>
      <c r="D26">
        <v>39.5</v>
      </c>
      <c r="E26">
        <v>24.5</v>
      </c>
      <c r="F26">
        <v>32.5</v>
      </c>
      <c r="G26">
        <v>37.5</v>
      </c>
      <c r="H26">
        <v>23</v>
      </c>
      <c r="I26">
        <v>17.5</v>
      </c>
      <c r="J26">
        <v>33.5</v>
      </c>
      <c r="K26">
        <v>42.5</v>
      </c>
      <c r="L26">
        <v>39.5</v>
      </c>
      <c r="M26">
        <v>48</v>
      </c>
    </row>
    <row r="27" spans="1:13" ht="15.75" x14ac:dyDescent="0.25">
      <c r="A27">
        <v>26</v>
      </c>
      <c r="B27" s="1" t="s">
        <v>64</v>
      </c>
      <c r="C27" s="1" t="s">
        <v>65</v>
      </c>
      <c r="D27">
        <v>18</v>
      </c>
      <c r="E27">
        <v>5</v>
      </c>
      <c r="F27">
        <v>15</v>
      </c>
      <c r="G27">
        <v>26</v>
      </c>
      <c r="H27">
        <v>16</v>
      </c>
      <c r="I27">
        <v>15.5</v>
      </c>
      <c r="J27">
        <v>27.5</v>
      </c>
      <c r="K27">
        <v>13</v>
      </c>
      <c r="L27">
        <v>31.5</v>
      </c>
      <c r="M27">
        <v>50</v>
      </c>
    </row>
    <row r="28" spans="1:13" ht="15.75" x14ac:dyDescent="0.25">
      <c r="A28">
        <v>27</v>
      </c>
      <c r="B28" s="1" t="s">
        <v>66</v>
      </c>
      <c r="C28" s="1" t="s">
        <v>67</v>
      </c>
      <c r="D28">
        <v>44</v>
      </c>
      <c r="E28">
        <v>37</v>
      </c>
      <c r="F28">
        <v>50.5</v>
      </c>
      <c r="G28">
        <v>43</v>
      </c>
      <c r="H28">
        <v>45.5</v>
      </c>
      <c r="I28">
        <v>31</v>
      </c>
      <c r="J28">
        <v>22</v>
      </c>
      <c r="K28">
        <v>46.5</v>
      </c>
      <c r="L28">
        <v>35</v>
      </c>
      <c r="M28">
        <v>58</v>
      </c>
    </row>
    <row r="29" spans="1:13" ht="15.75" x14ac:dyDescent="0.25">
      <c r="A29">
        <v>28</v>
      </c>
      <c r="B29" s="1" t="s">
        <v>68</v>
      </c>
      <c r="C29" s="1" t="s">
        <v>69</v>
      </c>
      <c r="D29">
        <v>54</v>
      </c>
      <c r="E29">
        <v>40</v>
      </c>
      <c r="F29">
        <v>44</v>
      </c>
      <c r="G29">
        <v>41</v>
      </c>
      <c r="H29">
        <v>51.5</v>
      </c>
      <c r="I29">
        <v>29</v>
      </c>
      <c r="J29">
        <v>45.5</v>
      </c>
      <c r="K29">
        <v>49</v>
      </c>
      <c r="L29">
        <v>44.5</v>
      </c>
      <c r="M29">
        <v>64</v>
      </c>
    </row>
    <row r="30" spans="1:13" ht="15.75" x14ac:dyDescent="0.25">
      <c r="A30">
        <v>29</v>
      </c>
      <c r="B30" s="1" t="s">
        <v>70</v>
      </c>
      <c r="C30" s="1" t="s">
        <v>71</v>
      </c>
      <c r="D30">
        <v>51</v>
      </c>
      <c r="E30">
        <v>39</v>
      </c>
      <c r="F30">
        <v>43.5</v>
      </c>
      <c r="G30">
        <v>47</v>
      </c>
      <c r="H30">
        <v>53</v>
      </c>
      <c r="I30">
        <v>30</v>
      </c>
      <c r="J30">
        <v>41.5</v>
      </c>
      <c r="K30">
        <v>51.5</v>
      </c>
      <c r="L30">
        <v>34.5</v>
      </c>
      <c r="M30">
        <v>65</v>
      </c>
    </row>
    <row r="31" spans="1:13" ht="15.75" x14ac:dyDescent="0.25">
      <c r="A31">
        <v>30</v>
      </c>
      <c r="B31" s="1" t="s">
        <v>72</v>
      </c>
      <c r="C31" s="1" t="s">
        <v>73</v>
      </c>
      <c r="D31">
        <v>58</v>
      </c>
      <c r="E31">
        <v>46</v>
      </c>
      <c r="F31">
        <v>51.5</v>
      </c>
      <c r="G31">
        <v>56</v>
      </c>
      <c r="H31">
        <v>66.5</v>
      </c>
      <c r="I31">
        <v>46</v>
      </c>
      <c r="J31">
        <v>62.5</v>
      </c>
      <c r="K31">
        <v>58</v>
      </c>
      <c r="L31">
        <v>43</v>
      </c>
      <c r="M31">
        <v>61</v>
      </c>
    </row>
    <row r="32" spans="1:13" ht="15.75" x14ac:dyDescent="0.25">
      <c r="A32">
        <v>31</v>
      </c>
      <c r="B32" s="1" t="s">
        <v>74</v>
      </c>
      <c r="C32" s="1" t="s">
        <v>75</v>
      </c>
      <c r="D32">
        <v>40.5</v>
      </c>
      <c r="E32">
        <v>22</v>
      </c>
      <c r="F32">
        <v>38.5</v>
      </c>
      <c r="G32">
        <v>35</v>
      </c>
      <c r="H32">
        <v>36.5</v>
      </c>
      <c r="I32">
        <v>26.5</v>
      </c>
      <c r="J32">
        <v>43</v>
      </c>
      <c r="K32">
        <v>45.5</v>
      </c>
      <c r="L32">
        <v>48</v>
      </c>
      <c r="M32">
        <v>55</v>
      </c>
    </row>
    <row r="33" spans="1:13" ht="15.75" x14ac:dyDescent="0.25">
      <c r="A33">
        <v>32</v>
      </c>
      <c r="B33" s="1" t="s">
        <v>76</v>
      </c>
      <c r="C33" s="1" t="s">
        <v>77</v>
      </c>
      <c r="D33">
        <v>34</v>
      </c>
      <c r="E33">
        <v>14</v>
      </c>
      <c r="F33">
        <v>18</v>
      </c>
      <c r="G33">
        <v>39</v>
      </c>
      <c r="H33">
        <v>15.5</v>
      </c>
      <c r="I33">
        <v>24</v>
      </c>
      <c r="J33">
        <v>26.5</v>
      </c>
      <c r="K33">
        <v>35.5</v>
      </c>
      <c r="L33">
        <v>4</v>
      </c>
      <c r="M33">
        <v>59</v>
      </c>
    </row>
    <row r="34" spans="1:13" ht="15.75" x14ac:dyDescent="0.25">
      <c r="A34">
        <v>33</v>
      </c>
      <c r="B34" s="1" t="s">
        <v>78</v>
      </c>
      <c r="C34" s="1" t="s">
        <v>79</v>
      </c>
      <c r="D34">
        <v>44.5</v>
      </c>
      <c r="E34">
        <v>38</v>
      </c>
      <c r="F34">
        <v>47</v>
      </c>
      <c r="G34">
        <v>45</v>
      </c>
      <c r="H34">
        <v>33</v>
      </c>
      <c r="I34">
        <v>22</v>
      </c>
      <c r="J34">
        <v>38</v>
      </c>
      <c r="K34">
        <v>31.5</v>
      </c>
      <c r="L34">
        <v>31</v>
      </c>
      <c r="M34">
        <v>60</v>
      </c>
    </row>
    <row r="35" spans="1:13" ht="15.75" x14ac:dyDescent="0.25">
      <c r="A35">
        <v>34</v>
      </c>
      <c r="B35" s="1" t="s">
        <v>80</v>
      </c>
      <c r="C35" s="1" t="s">
        <v>81</v>
      </c>
      <c r="D35">
        <v>49</v>
      </c>
      <c r="E35">
        <v>42.5</v>
      </c>
      <c r="F35">
        <v>57</v>
      </c>
      <c r="G35">
        <v>43</v>
      </c>
      <c r="H35">
        <v>51.5</v>
      </c>
      <c r="I35">
        <v>37.5</v>
      </c>
      <c r="J35">
        <v>34.5</v>
      </c>
      <c r="K35">
        <v>50</v>
      </c>
      <c r="L35">
        <v>44</v>
      </c>
      <c r="M35">
        <v>55</v>
      </c>
    </row>
    <row r="36" spans="1:13" ht="15.75" x14ac:dyDescent="0.25">
      <c r="A36">
        <v>35</v>
      </c>
      <c r="B36" s="1" t="s">
        <v>82</v>
      </c>
      <c r="C36" s="1" t="s">
        <v>83</v>
      </c>
      <c r="D36">
        <v>53</v>
      </c>
      <c r="E36">
        <v>41</v>
      </c>
      <c r="F36">
        <v>59.5</v>
      </c>
      <c r="G36">
        <v>51</v>
      </c>
      <c r="H36">
        <v>61</v>
      </c>
      <c r="I36">
        <v>42.25</v>
      </c>
      <c r="J36">
        <v>40</v>
      </c>
      <c r="K36">
        <v>54</v>
      </c>
      <c r="L36">
        <v>66.5</v>
      </c>
      <c r="M36">
        <v>64</v>
      </c>
    </row>
    <row r="37" spans="1:13" ht="15.75" x14ac:dyDescent="0.25">
      <c r="A37">
        <v>36</v>
      </c>
      <c r="B37" s="1" t="s">
        <v>84</v>
      </c>
      <c r="C37" s="1" t="s">
        <v>85</v>
      </c>
      <c r="D37">
        <v>64.5</v>
      </c>
      <c r="E37">
        <v>57.5</v>
      </c>
      <c r="F37">
        <v>51</v>
      </c>
      <c r="G37">
        <v>56</v>
      </c>
      <c r="H37">
        <v>58.5</v>
      </c>
      <c r="I37">
        <v>49.5</v>
      </c>
      <c r="J37">
        <v>53</v>
      </c>
      <c r="K37">
        <v>55.5</v>
      </c>
      <c r="L37">
        <v>52</v>
      </c>
      <c r="M37">
        <v>64</v>
      </c>
    </row>
    <row r="38" spans="1:13" ht="15.75" x14ac:dyDescent="0.25">
      <c r="A38">
        <v>37</v>
      </c>
      <c r="B38" s="1" t="s">
        <v>86</v>
      </c>
      <c r="C38" s="1" t="s">
        <v>87</v>
      </c>
      <c r="D38">
        <v>46</v>
      </c>
      <c r="E38">
        <v>33</v>
      </c>
      <c r="F38">
        <v>60</v>
      </c>
      <c r="G38">
        <v>49</v>
      </c>
      <c r="H38">
        <v>42.5</v>
      </c>
      <c r="I38">
        <v>36.5</v>
      </c>
      <c r="J38">
        <v>40</v>
      </c>
      <c r="K38">
        <v>44.5</v>
      </c>
      <c r="L38">
        <v>43</v>
      </c>
      <c r="M38">
        <v>63</v>
      </c>
    </row>
    <row r="39" spans="1:13" ht="15.75" x14ac:dyDescent="0.25">
      <c r="A39">
        <v>38</v>
      </c>
      <c r="B39" s="1" t="s">
        <v>88</v>
      </c>
      <c r="C39" s="1" t="s">
        <v>89</v>
      </c>
      <c r="D39">
        <v>48</v>
      </c>
      <c r="E39">
        <v>24.5</v>
      </c>
      <c r="F39">
        <v>37.5</v>
      </c>
      <c r="G39">
        <v>44.5</v>
      </c>
      <c r="H39">
        <v>38.5</v>
      </c>
      <c r="I39">
        <v>33.5</v>
      </c>
      <c r="J39">
        <v>57.5</v>
      </c>
      <c r="K39">
        <v>40</v>
      </c>
      <c r="L39">
        <v>33</v>
      </c>
      <c r="M39">
        <v>63</v>
      </c>
    </row>
    <row r="40" spans="1:13" ht="15.75" x14ac:dyDescent="0.25">
      <c r="A40">
        <v>39</v>
      </c>
      <c r="B40" s="1" t="s">
        <v>90</v>
      </c>
      <c r="C40" s="1" t="s">
        <v>91</v>
      </c>
      <c r="D40">
        <v>24</v>
      </c>
      <c r="E40">
        <v>32.5</v>
      </c>
      <c r="F40">
        <v>58.5</v>
      </c>
      <c r="G40">
        <v>45</v>
      </c>
      <c r="H40">
        <v>45</v>
      </c>
      <c r="I40">
        <v>28.5</v>
      </c>
      <c r="J40">
        <v>32.5</v>
      </c>
      <c r="K40">
        <v>36.5</v>
      </c>
      <c r="L40">
        <v>37.5</v>
      </c>
      <c r="M40">
        <v>59</v>
      </c>
    </row>
    <row r="41" spans="1:13" ht="15.75" x14ac:dyDescent="0.25">
      <c r="A41">
        <v>40</v>
      </c>
      <c r="B41" s="1" t="s">
        <v>92</v>
      </c>
      <c r="C41" s="1" t="s">
        <v>93</v>
      </c>
      <c r="D41">
        <v>53</v>
      </c>
      <c r="E41">
        <v>40</v>
      </c>
      <c r="F41">
        <v>46</v>
      </c>
      <c r="G41">
        <v>57</v>
      </c>
      <c r="H41">
        <v>64.5</v>
      </c>
      <c r="I41">
        <v>21</v>
      </c>
      <c r="J41">
        <v>25.5</v>
      </c>
      <c r="K41">
        <v>50.5</v>
      </c>
      <c r="L41">
        <v>39</v>
      </c>
      <c r="M41">
        <v>64</v>
      </c>
    </row>
    <row r="42" spans="1:13" ht="15.75" x14ac:dyDescent="0.25">
      <c r="A42">
        <v>41</v>
      </c>
      <c r="B42" s="1" t="s">
        <v>94</v>
      </c>
      <c r="C42" s="1" t="s">
        <v>95</v>
      </c>
      <c r="D42">
        <v>56.5</v>
      </c>
      <c r="E42">
        <v>48.5</v>
      </c>
      <c r="F42">
        <v>55</v>
      </c>
      <c r="G42">
        <v>45</v>
      </c>
      <c r="H42">
        <v>67</v>
      </c>
      <c r="I42">
        <v>37.5</v>
      </c>
      <c r="J42">
        <v>56</v>
      </c>
      <c r="K42">
        <v>55.5</v>
      </c>
      <c r="L42">
        <v>57</v>
      </c>
      <c r="M42">
        <v>63</v>
      </c>
    </row>
    <row r="43" spans="1:13" ht="15.75" x14ac:dyDescent="0.25">
      <c r="A43">
        <v>42</v>
      </c>
      <c r="B43" s="1" t="s">
        <v>96</v>
      </c>
      <c r="C43" s="1" t="s">
        <v>97</v>
      </c>
      <c r="D43">
        <v>49.5</v>
      </c>
      <c r="E43">
        <v>36</v>
      </c>
      <c r="F43">
        <v>47.5</v>
      </c>
      <c r="G43">
        <v>51</v>
      </c>
      <c r="H43">
        <v>41</v>
      </c>
      <c r="I43">
        <v>27</v>
      </c>
      <c r="J43">
        <v>36.5</v>
      </c>
      <c r="K43">
        <v>49.5</v>
      </c>
      <c r="L43">
        <v>42.5</v>
      </c>
      <c r="M43">
        <v>58</v>
      </c>
    </row>
    <row r="44" spans="1:13" ht="15.75" x14ac:dyDescent="0.25">
      <c r="A44">
        <v>43</v>
      </c>
      <c r="B44" s="1" t="s">
        <v>98</v>
      </c>
      <c r="C44" s="1" t="s">
        <v>99</v>
      </c>
      <c r="D44">
        <v>56</v>
      </c>
      <c r="E44">
        <v>44</v>
      </c>
      <c r="F44">
        <v>50</v>
      </c>
      <c r="G44">
        <v>49</v>
      </c>
      <c r="H44">
        <v>34.5</v>
      </c>
      <c r="I44">
        <v>28.5</v>
      </c>
      <c r="J44">
        <v>36</v>
      </c>
      <c r="K44">
        <v>56</v>
      </c>
      <c r="L44">
        <v>43</v>
      </c>
      <c r="M44">
        <v>64</v>
      </c>
    </row>
    <row r="45" spans="1:13" ht="15.75" x14ac:dyDescent="0.25">
      <c r="A45">
        <v>44</v>
      </c>
      <c r="B45" s="1" t="s">
        <v>100</v>
      </c>
      <c r="C45" s="1" t="s">
        <v>101</v>
      </c>
      <c r="D45">
        <v>50.5</v>
      </c>
      <c r="E45">
        <v>43</v>
      </c>
      <c r="F45">
        <v>52</v>
      </c>
      <c r="G45">
        <v>46.5</v>
      </c>
      <c r="H45">
        <v>44.5</v>
      </c>
      <c r="I45">
        <v>31.5</v>
      </c>
      <c r="J45">
        <v>37</v>
      </c>
      <c r="K45">
        <v>54</v>
      </c>
      <c r="L45">
        <v>40.5</v>
      </c>
      <c r="M45">
        <v>62</v>
      </c>
    </row>
    <row r="46" spans="1:13" ht="15.75" x14ac:dyDescent="0.25">
      <c r="A46">
        <v>45</v>
      </c>
      <c r="B46" s="1" t="s">
        <v>102</v>
      </c>
      <c r="C46" s="1" t="s">
        <v>103</v>
      </c>
      <c r="D46">
        <v>19.5</v>
      </c>
      <c r="E46">
        <v>37</v>
      </c>
      <c r="F46">
        <v>18.5</v>
      </c>
      <c r="G46">
        <v>37</v>
      </c>
      <c r="H46">
        <v>41</v>
      </c>
      <c r="I46">
        <v>23.5</v>
      </c>
      <c r="J46">
        <v>27.5</v>
      </c>
      <c r="K46">
        <v>27</v>
      </c>
      <c r="L46">
        <v>28</v>
      </c>
      <c r="M46">
        <v>62</v>
      </c>
    </row>
    <row r="47" spans="1:13" ht="15.75" x14ac:dyDescent="0.25">
      <c r="A47">
        <v>46</v>
      </c>
      <c r="B47" s="1" t="s">
        <v>104</v>
      </c>
      <c r="C47" s="1" t="s">
        <v>105</v>
      </c>
      <c r="D47">
        <v>14.5</v>
      </c>
      <c r="E47">
        <v>12.5</v>
      </c>
      <c r="F47">
        <v>11</v>
      </c>
      <c r="G47">
        <v>10</v>
      </c>
      <c r="H47">
        <v>11.5</v>
      </c>
      <c r="I47">
        <v>22</v>
      </c>
      <c r="J47">
        <v>19.5</v>
      </c>
      <c r="K47">
        <v>16.5</v>
      </c>
      <c r="L47">
        <v>15</v>
      </c>
      <c r="M47">
        <v>55</v>
      </c>
    </row>
    <row r="48" spans="1:13" ht="15.75" x14ac:dyDescent="0.25">
      <c r="A48">
        <v>47</v>
      </c>
      <c r="B48" s="1" t="s">
        <v>106</v>
      </c>
      <c r="C48" s="1" t="s">
        <v>107</v>
      </c>
      <c r="D48">
        <v>47</v>
      </c>
      <c r="E48">
        <v>30</v>
      </c>
      <c r="F48">
        <v>52.5</v>
      </c>
      <c r="G48">
        <v>34</v>
      </c>
      <c r="H48">
        <v>20</v>
      </c>
      <c r="I48">
        <v>19.5</v>
      </c>
      <c r="J48">
        <v>25</v>
      </c>
      <c r="K48">
        <v>11.5</v>
      </c>
      <c r="L48">
        <v>24</v>
      </c>
      <c r="M48">
        <v>62</v>
      </c>
    </row>
    <row r="49" spans="1:13" ht="15.75" x14ac:dyDescent="0.25">
      <c r="A49">
        <v>48</v>
      </c>
      <c r="B49" s="1" t="s">
        <v>108</v>
      </c>
      <c r="C49" s="1" t="s">
        <v>109</v>
      </c>
      <c r="D49">
        <v>51.5</v>
      </c>
      <c r="E49">
        <v>47</v>
      </c>
      <c r="F49">
        <v>54</v>
      </c>
      <c r="G49">
        <v>47.5</v>
      </c>
      <c r="H49">
        <v>52</v>
      </c>
      <c r="I49">
        <v>31</v>
      </c>
      <c r="J49">
        <v>55.5</v>
      </c>
      <c r="K49">
        <v>55</v>
      </c>
      <c r="L49">
        <v>58</v>
      </c>
      <c r="M49">
        <v>63</v>
      </c>
    </row>
    <row r="50" spans="1:13" ht="15.75" x14ac:dyDescent="0.25">
      <c r="A50">
        <v>49</v>
      </c>
      <c r="B50" s="1" t="s">
        <v>110</v>
      </c>
      <c r="C50" s="1" t="s">
        <v>111</v>
      </c>
      <c r="D50">
        <v>13.5</v>
      </c>
      <c r="E50">
        <v>7</v>
      </c>
      <c r="F50">
        <v>18.5</v>
      </c>
      <c r="G50">
        <v>13</v>
      </c>
      <c r="H50">
        <v>1.5</v>
      </c>
      <c r="I50">
        <v>18</v>
      </c>
      <c r="J50">
        <v>48</v>
      </c>
      <c r="K50">
        <v>13.5</v>
      </c>
      <c r="L50">
        <v>15</v>
      </c>
      <c r="M50">
        <v>55</v>
      </c>
    </row>
    <row r="51" spans="1:13" ht="15.75" x14ac:dyDescent="0.25">
      <c r="A51">
        <v>50</v>
      </c>
      <c r="B51" s="1" t="s">
        <v>112</v>
      </c>
      <c r="C51" s="1" t="s">
        <v>113</v>
      </c>
      <c r="D51">
        <v>6.5</v>
      </c>
      <c r="E51">
        <v>1.5</v>
      </c>
      <c r="F51">
        <v>22</v>
      </c>
      <c r="G51">
        <v>24</v>
      </c>
      <c r="H51">
        <v>3</v>
      </c>
      <c r="I51">
        <v>18.5</v>
      </c>
      <c r="J51">
        <v>3</v>
      </c>
      <c r="K51">
        <v>7</v>
      </c>
      <c r="L51">
        <v>18</v>
      </c>
      <c r="M51">
        <v>46</v>
      </c>
    </row>
    <row r="52" spans="1:13" ht="15.75" x14ac:dyDescent="0.25">
      <c r="A52">
        <v>51</v>
      </c>
      <c r="B52" s="1" t="s">
        <v>114</v>
      </c>
      <c r="C52" s="1" t="s">
        <v>115</v>
      </c>
      <c r="D52">
        <v>47</v>
      </c>
      <c r="E52">
        <v>30</v>
      </c>
      <c r="F52">
        <v>45.5</v>
      </c>
      <c r="G52">
        <v>44</v>
      </c>
      <c r="H52">
        <v>33.5</v>
      </c>
      <c r="I52">
        <v>19.5</v>
      </c>
      <c r="J52">
        <v>49.5</v>
      </c>
      <c r="K52">
        <v>47.5</v>
      </c>
      <c r="L52">
        <v>40.5</v>
      </c>
      <c r="M52">
        <v>64</v>
      </c>
    </row>
    <row r="53" spans="1:13" ht="15.75" x14ac:dyDescent="0.25">
      <c r="A53">
        <v>52</v>
      </c>
      <c r="B53" s="1" t="s">
        <v>116</v>
      </c>
      <c r="C53" s="1" t="s">
        <v>117</v>
      </c>
      <c r="D53">
        <v>36</v>
      </c>
      <c r="E53">
        <v>44</v>
      </c>
      <c r="F53">
        <v>50</v>
      </c>
      <c r="G53">
        <v>44</v>
      </c>
      <c r="H53">
        <v>41</v>
      </c>
      <c r="I53">
        <v>27</v>
      </c>
      <c r="J53">
        <v>40.5</v>
      </c>
      <c r="K53">
        <v>32.5</v>
      </c>
      <c r="L53">
        <v>39.5</v>
      </c>
      <c r="M53">
        <v>60</v>
      </c>
    </row>
    <row r="54" spans="1:13" ht="15.75" x14ac:dyDescent="0.25">
      <c r="A54">
        <v>53</v>
      </c>
      <c r="B54" s="1" t="s">
        <v>118</v>
      </c>
      <c r="C54" s="1" t="s">
        <v>119</v>
      </c>
      <c r="D54">
        <v>46.5</v>
      </c>
      <c r="E54">
        <v>43</v>
      </c>
      <c r="F54">
        <v>55</v>
      </c>
      <c r="G54">
        <v>59</v>
      </c>
      <c r="H54">
        <v>53</v>
      </c>
      <c r="I54">
        <v>33</v>
      </c>
      <c r="J54">
        <v>28.5</v>
      </c>
      <c r="K54">
        <v>60</v>
      </c>
      <c r="L54">
        <v>51.5</v>
      </c>
      <c r="M54">
        <v>63</v>
      </c>
    </row>
    <row r="55" spans="1:13" ht="15.75" x14ac:dyDescent="0.25">
      <c r="A55">
        <v>54</v>
      </c>
      <c r="B55" s="1" t="s">
        <v>120</v>
      </c>
      <c r="C55" s="1" t="s">
        <v>121</v>
      </c>
      <c r="D55">
        <v>44</v>
      </c>
      <c r="E55">
        <v>35</v>
      </c>
      <c r="F55">
        <v>25.75</v>
      </c>
      <c r="G55">
        <v>23</v>
      </c>
      <c r="H55">
        <v>11.5</v>
      </c>
      <c r="I55">
        <v>20.5</v>
      </c>
      <c r="J55">
        <v>21</v>
      </c>
      <c r="K55">
        <v>28.5</v>
      </c>
      <c r="L55">
        <v>29</v>
      </c>
      <c r="M55">
        <v>65</v>
      </c>
    </row>
    <row r="56" spans="1:13" ht="15.75" x14ac:dyDescent="0.25">
      <c r="A56">
        <v>55</v>
      </c>
      <c r="B56" s="1" t="s">
        <v>122</v>
      </c>
      <c r="C56" s="1" t="s">
        <v>123</v>
      </c>
      <c r="D56">
        <v>55.5</v>
      </c>
      <c r="E56">
        <v>39</v>
      </c>
      <c r="F56">
        <v>52.5</v>
      </c>
      <c r="G56">
        <v>50</v>
      </c>
      <c r="H56">
        <v>53</v>
      </c>
      <c r="I56">
        <v>30.5</v>
      </c>
      <c r="J56">
        <v>30</v>
      </c>
      <c r="K56">
        <v>50</v>
      </c>
      <c r="L56">
        <v>45.5</v>
      </c>
      <c r="M56">
        <v>61</v>
      </c>
    </row>
    <row r="57" spans="1:13" ht="15.75" x14ac:dyDescent="0.25">
      <c r="A57">
        <v>56</v>
      </c>
      <c r="B57" s="1" t="s">
        <v>124</v>
      </c>
      <c r="C57" s="1" t="s">
        <v>125</v>
      </c>
      <c r="D57">
        <v>56</v>
      </c>
      <c r="E57">
        <v>44</v>
      </c>
      <c r="F57">
        <v>60</v>
      </c>
      <c r="G57">
        <v>60</v>
      </c>
      <c r="H57">
        <v>66</v>
      </c>
      <c r="I57">
        <v>39.5</v>
      </c>
      <c r="J57">
        <v>60.5</v>
      </c>
      <c r="K57">
        <v>59</v>
      </c>
      <c r="L57">
        <v>52.5</v>
      </c>
      <c r="M57">
        <v>66</v>
      </c>
    </row>
    <row r="58" spans="1:13" ht="15.75" x14ac:dyDescent="0.25">
      <c r="A58">
        <v>57</v>
      </c>
      <c r="B58" s="1" t="s">
        <v>126</v>
      </c>
      <c r="C58" s="1" t="s">
        <v>127</v>
      </c>
      <c r="D58">
        <v>65</v>
      </c>
      <c r="E58">
        <v>54</v>
      </c>
      <c r="F58">
        <v>65</v>
      </c>
      <c r="G58">
        <v>52.5</v>
      </c>
      <c r="H58">
        <v>59</v>
      </c>
      <c r="I58">
        <v>37.5</v>
      </c>
      <c r="J58">
        <v>34.5</v>
      </c>
      <c r="K58">
        <v>64</v>
      </c>
      <c r="L58">
        <v>54.5</v>
      </c>
      <c r="M58">
        <v>65</v>
      </c>
    </row>
    <row r="59" spans="1:13" ht="15.75" x14ac:dyDescent="0.25">
      <c r="A59">
        <v>58</v>
      </c>
      <c r="B59" s="1" t="s">
        <v>128</v>
      </c>
      <c r="C59" s="1" t="s">
        <v>129</v>
      </c>
      <c r="D59">
        <v>45.5</v>
      </c>
      <c r="E59">
        <v>42</v>
      </c>
      <c r="F59">
        <v>12</v>
      </c>
      <c r="G59">
        <v>22</v>
      </c>
      <c r="H59">
        <v>10.5</v>
      </c>
      <c r="I59">
        <v>14</v>
      </c>
      <c r="J59">
        <v>37.5</v>
      </c>
      <c r="K59">
        <v>41</v>
      </c>
      <c r="L59">
        <v>18</v>
      </c>
      <c r="M59">
        <v>56</v>
      </c>
    </row>
    <row r="60" spans="1:13" ht="15.75" x14ac:dyDescent="0.25">
      <c r="A60">
        <v>59</v>
      </c>
      <c r="B60" s="1" t="s">
        <v>130</v>
      </c>
      <c r="C60" s="1" t="s">
        <v>131</v>
      </c>
      <c r="D60">
        <v>45.5</v>
      </c>
      <c r="E60">
        <v>28</v>
      </c>
      <c r="F60">
        <v>26</v>
      </c>
      <c r="G60">
        <v>52</v>
      </c>
      <c r="H60">
        <v>37</v>
      </c>
      <c r="I60">
        <v>27.5</v>
      </c>
      <c r="J60">
        <v>30</v>
      </c>
      <c r="K60">
        <v>31</v>
      </c>
      <c r="L60">
        <v>41</v>
      </c>
      <c r="M60">
        <v>64</v>
      </c>
    </row>
    <row r="61" spans="1:13" ht="15.75" x14ac:dyDescent="0.25">
      <c r="A61">
        <v>60</v>
      </c>
      <c r="B61" s="1" t="s">
        <v>132</v>
      </c>
      <c r="C61" s="1" t="s">
        <v>133</v>
      </c>
      <c r="D61">
        <v>48.5</v>
      </c>
      <c r="E61">
        <v>49.5</v>
      </c>
      <c r="F61">
        <v>51.5</v>
      </c>
      <c r="G61">
        <v>51</v>
      </c>
      <c r="H61">
        <v>46</v>
      </c>
      <c r="I61">
        <v>40.5</v>
      </c>
      <c r="J61">
        <v>29.5</v>
      </c>
      <c r="K61">
        <v>55</v>
      </c>
      <c r="L61">
        <v>52.5</v>
      </c>
      <c r="M61">
        <v>64</v>
      </c>
    </row>
    <row r="62" spans="1:13" ht="15.75" x14ac:dyDescent="0.25">
      <c r="A62">
        <v>61</v>
      </c>
      <c r="B62" s="1" t="s">
        <v>134</v>
      </c>
      <c r="C62" s="1" t="s">
        <v>135</v>
      </c>
      <c r="D62">
        <v>45.5</v>
      </c>
      <c r="E62">
        <v>33</v>
      </c>
      <c r="F62">
        <v>42</v>
      </c>
      <c r="G62">
        <v>33</v>
      </c>
      <c r="H62">
        <v>38</v>
      </c>
      <c r="I62">
        <v>31.5</v>
      </c>
      <c r="J62">
        <v>51</v>
      </c>
      <c r="K62">
        <v>36</v>
      </c>
      <c r="L62">
        <v>50.5</v>
      </c>
      <c r="M62">
        <v>53</v>
      </c>
    </row>
    <row r="63" spans="1:13" ht="15.75" x14ac:dyDescent="0.25">
      <c r="A63">
        <v>62</v>
      </c>
      <c r="B63" s="1" t="s">
        <v>136</v>
      </c>
      <c r="C63" s="1" t="s">
        <v>137</v>
      </c>
      <c r="D63">
        <v>53.5</v>
      </c>
      <c r="E63">
        <v>39</v>
      </c>
      <c r="F63">
        <v>47</v>
      </c>
      <c r="G63">
        <v>43</v>
      </c>
      <c r="H63">
        <v>54.5</v>
      </c>
      <c r="I63">
        <v>32</v>
      </c>
      <c r="J63">
        <v>31</v>
      </c>
      <c r="K63">
        <v>45</v>
      </c>
      <c r="L63">
        <v>41</v>
      </c>
      <c r="M63">
        <v>63</v>
      </c>
    </row>
    <row r="64" spans="1:13" ht="15.75" x14ac:dyDescent="0.25">
      <c r="A64">
        <v>63</v>
      </c>
      <c r="B64" s="1" t="s">
        <v>138</v>
      </c>
      <c r="C64" s="1" t="s">
        <v>139</v>
      </c>
      <c r="D64">
        <v>55</v>
      </c>
      <c r="E64">
        <v>38</v>
      </c>
      <c r="F64">
        <v>49</v>
      </c>
      <c r="G64">
        <v>47</v>
      </c>
      <c r="H64">
        <v>35.5</v>
      </c>
      <c r="I64">
        <v>24.5</v>
      </c>
      <c r="J64">
        <v>34.5</v>
      </c>
      <c r="K64">
        <v>46</v>
      </c>
      <c r="L64">
        <v>55</v>
      </c>
      <c r="M64">
        <v>64</v>
      </c>
    </row>
    <row r="65" spans="1:13" ht="15.75" x14ac:dyDescent="0.25">
      <c r="A65">
        <v>64</v>
      </c>
      <c r="B65" s="1" t="s">
        <v>140</v>
      </c>
      <c r="C65" s="1" t="s">
        <v>141</v>
      </c>
      <c r="D65">
        <v>30.5</v>
      </c>
      <c r="E65">
        <v>16</v>
      </c>
      <c r="F65">
        <v>21.5</v>
      </c>
      <c r="G65">
        <v>37</v>
      </c>
      <c r="H65">
        <v>14.5</v>
      </c>
      <c r="I65">
        <v>19.5</v>
      </c>
      <c r="J65">
        <v>20.5</v>
      </c>
      <c r="K65">
        <v>27.5</v>
      </c>
      <c r="L65">
        <v>7</v>
      </c>
      <c r="M65">
        <v>59</v>
      </c>
    </row>
    <row r="66" spans="1:13" ht="15.75" x14ac:dyDescent="0.25">
      <c r="A66">
        <v>65</v>
      </c>
      <c r="B66" s="1" t="s">
        <v>142</v>
      </c>
      <c r="C66" s="1" t="s">
        <v>143</v>
      </c>
      <c r="D66">
        <v>62</v>
      </c>
      <c r="E66">
        <v>50</v>
      </c>
      <c r="F66">
        <v>57.5</v>
      </c>
      <c r="G66">
        <v>61</v>
      </c>
      <c r="H66">
        <v>65</v>
      </c>
      <c r="I66">
        <v>39</v>
      </c>
      <c r="J66">
        <v>59.5</v>
      </c>
      <c r="K66">
        <v>51</v>
      </c>
      <c r="L66">
        <v>38</v>
      </c>
      <c r="M66">
        <v>68</v>
      </c>
    </row>
    <row r="67" spans="1:13" ht="15.75" x14ac:dyDescent="0.25">
      <c r="A67">
        <v>66</v>
      </c>
      <c r="B67" s="1" t="s">
        <v>144</v>
      </c>
      <c r="C67" s="1" t="s">
        <v>145</v>
      </c>
      <c r="D67">
        <v>45.5</v>
      </c>
      <c r="E67">
        <v>32</v>
      </c>
      <c r="F67">
        <v>47</v>
      </c>
      <c r="G67">
        <v>52</v>
      </c>
      <c r="H67">
        <v>43.5</v>
      </c>
      <c r="I67">
        <v>24.5</v>
      </c>
      <c r="J67">
        <v>24</v>
      </c>
      <c r="K67">
        <v>58.5</v>
      </c>
      <c r="L67">
        <v>44</v>
      </c>
      <c r="M67">
        <v>66</v>
      </c>
    </row>
    <row r="68" spans="1:13" ht="15.75" x14ac:dyDescent="0.25">
      <c r="A68">
        <v>67</v>
      </c>
      <c r="B68" s="1" t="s">
        <v>146</v>
      </c>
      <c r="C68" s="1" t="s">
        <v>147</v>
      </c>
      <c r="D68">
        <v>60.5</v>
      </c>
      <c r="E68">
        <v>52</v>
      </c>
      <c r="F68">
        <v>63</v>
      </c>
      <c r="G68">
        <v>58</v>
      </c>
      <c r="H68">
        <v>64</v>
      </c>
      <c r="I68">
        <v>46.5</v>
      </c>
      <c r="J68">
        <v>46.5</v>
      </c>
      <c r="K68">
        <v>61.5</v>
      </c>
      <c r="L68">
        <v>51.5</v>
      </c>
      <c r="M68">
        <v>67</v>
      </c>
    </row>
    <row r="69" spans="1:13" ht="15.75" x14ac:dyDescent="0.25">
      <c r="A69">
        <v>68</v>
      </c>
      <c r="B69" s="1" t="s">
        <v>148</v>
      </c>
      <c r="C69" s="1" t="s">
        <v>149</v>
      </c>
      <c r="D69">
        <v>61.5</v>
      </c>
      <c r="E69">
        <v>50.5</v>
      </c>
      <c r="F69">
        <v>54</v>
      </c>
      <c r="G69">
        <v>58</v>
      </c>
      <c r="H69">
        <v>52.5</v>
      </c>
      <c r="I69">
        <v>35</v>
      </c>
      <c r="J69">
        <v>53</v>
      </c>
      <c r="K69">
        <v>48.5</v>
      </c>
      <c r="L69">
        <v>55.5</v>
      </c>
      <c r="M69">
        <v>62</v>
      </c>
    </row>
    <row r="70" spans="1:13" ht="15.75" x14ac:dyDescent="0.25">
      <c r="A70">
        <v>69</v>
      </c>
      <c r="B70" s="1" t="s">
        <v>150</v>
      </c>
      <c r="C70" s="1" t="s">
        <v>151</v>
      </c>
      <c r="D70">
        <v>52</v>
      </c>
      <c r="E70">
        <v>38</v>
      </c>
      <c r="F70">
        <v>59</v>
      </c>
      <c r="G70">
        <v>56</v>
      </c>
      <c r="H70">
        <v>66</v>
      </c>
      <c r="I70">
        <v>35.5</v>
      </c>
      <c r="J70">
        <v>51.5</v>
      </c>
      <c r="K70">
        <v>47.5</v>
      </c>
      <c r="L70">
        <v>49</v>
      </c>
      <c r="M70">
        <v>60</v>
      </c>
    </row>
    <row r="71" spans="1:13" ht="15.75" x14ac:dyDescent="0.25">
      <c r="A71">
        <v>70</v>
      </c>
      <c r="B71" s="1" t="s">
        <v>152</v>
      </c>
      <c r="C71" s="1" t="s">
        <v>153</v>
      </c>
      <c r="D71">
        <v>32.5</v>
      </c>
      <c r="E71">
        <v>32</v>
      </c>
      <c r="F71">
        <v>53</v>
      </c>
      <c r="G71">
        <v>44.5</v>
      </c>
      <c r="H71">
        <v>30.5</v>
      </c>
      <c r="I71">
        <v>34</v>
      </c>
      <c r="J71">
        <v>31</v>
      </c>
      <c r="K71">
        <v>39</v>
      </c>
      <c r="L71">
        <v>39</v>
      </c>
      <c r="M71">
        <v>62</v>
      </c>
    </row>
    <row r="72" spans="1:13" ht="15.75" x14ac:dyDescent="0.25">
      <c r="A72">
        <v>71</v>
      </c>
      <c r="B72" s="1" t="s">
        <v>154</v>
      </c>
      <c r="C72" s="1" t="s">
        <v>155</v>
      </c>
      <c r="D72">
        <v>41</v>
      </c>
      <c r="E72">
        <v>31.5</v>
      </c>
      <c r="F72">
        <v>57</v>
      </c>
      <c r="G72">
        <v>44.5</v>
      </c>
      <c r="H72">
        <v>45</v>
      </c>
      <c r="I72">
        <v>30</v>
      </c>
      <c r="J72">
        <v>38</v>
      </c>
      <c r="K72">
        <v>44.5</v>
      </c>
      <c r="L72">
        <v>45</v>
      </c>
      <c r="M72">
        <v>61</v>
      </c>
    </row>
    <row r="73" spans="1:13" ht="15.75" x14ac:dyDescent="0.25">
      <c r="A73">
        <v>72</v>
      </c>
      <c r="B73" s="1" t="s">
        <v>156</v>
      </c>
      <c r="C73" s="1" t="s">
        <v>157</v>
      </c>
      <c r="D73">
        <v>31.5</v>
      </c>
      <c r="E73">
        <v>29.5</v>
      </c>
      <c r="F73">
        <v>40</v>
      </c>
      <c r="G73">
        <v>30.5</v>
      </c>
      <c r="H73">
        <v>38</v>
      </c>
      <c r="I73">
        <v>26</v>
      </c>
      <c r="J73">
        <v>24</v>
      </c>
      <c r="K73">
        <v>34</v>
      </c>
      <c r="L73">
        <v>29.5</v>
      </c>
      <c r="M73">
        <v>61</v>
      </c>
    </row>
    <row r="74" spans="1:13" ht="15.75" x14ac:dyDescent="0.25">
      <c r="A74">
        <v>73</v>
      </c>
      <c r="B74" s="1" t="s">
        <v>158</v>
      </c>
      <c r="C74" s="1" t="s">
        <v>159</v>
      </c>
      <c r="D74">
        <v>38</v>
      </c>
      <c r="E74">
        <v>29</v>
      </c>
      <c r="F74">
        <v>47</v>
      </c>
      <c r="G74">
        <v>31.5</v>
      </c>
      <c r="H74">
        <v>34</v>
      </c>
      <c r="I74">
        <v>23</v>
      </c>
      <c r="J74">
        <v>31</v>
      </c>
      <c r="K74">
        <v>41</v>
      </c>
      <c r="L74">
        <v>35</v>
      </c>
      <c r="M74">
        <v>58</v>
      </c>
    </row>
    <row r="75" spans="1:13" ht="15.75" x14ac:dyDescent="0.25">
      <c r="A75">
        <v>74</v>
      </c>
      <c r="B75" s="1" t="s">
        <v>160</v>
      </c>
      <c r="C75" s="1" t="s">
        <v>161</v>
      </c>
      <c r="D75">
        <v>52.5</v>
      </c>
      <c r="E75">
        <v>29</v>
      </c>
      <c r="F75">
        <v>50</v>
      </c>
      <c r="G75">
        <v>41</v>
      </c>
      <c r="H75">
        <v>44</v>
      </c>
      <c r="I75">
        <v>31.5</v>
      </c>
      <c r="J75">
        <v>52</v>
      </c>
      <c r="K75">
        <v>51</v>
      </c>
      <c r="L75">
        <v>34.5</v>
      </c>
      <c r="M75">
        <v>63</v>
      </c>
    </row>
    <row r="76" spans="1:13" ht="15.75" x14ac:dyDescent="0.25">
      <c r="A76">
        <v>75</v>
      </c>
      <c r="B76" s="1" t="s">
        <v>162</v>
      </c>
      <c r="C76" s="1" t="s">
        <v>163</v>
      </c>
      <c r="D76">
        <v>57</v>
      </c>
      <c r="E76">
        <v>42</v>
      </c>
      <c r="F76">
        <v>45.5</v>
      </c>
      <c r="G76">
        <v>45.5</v>
      </c>
      <c r="H76">
        <v>42.5</v>
      </c>
      <c r="I76">
        <v>39</v>
      </c>
      <c r="J76">
        <v>49.5</v>
      </c>
      <c r="K76">
        <v>55</v>
      </c>
      <c r="L76">
        <v>47.5</v>
      </c>
      <c r="M76">
        <v>62</v>
      </c>
    </row>
    <row r="77" spans="1:13" ht="15.75" x14ac:dyDescent="0.25">
      <c r="A77">
        <v>76</v>
      </c>
      <c r="B77" s="1" t="s">
        <v>164</v>
      </c>
      <c r="C77" s="1" t="s">
        <v>165</v>
      </c>
      <c r="D77">
        <v>61.5</v>
      </c>
      <c r="E77">
        <v>45</v>
      </c>
      <c r="F77">
        <v>56</v>
      </c>
      <c r="G77">
        <v>46</v>
      </c>
      <c r="H77">
        <v>50</v>
      </c>
      <c r="I77">
        <v>33</v>
      </c>
      <c r="J77">
        <v>45</v>
      </c>
      <c r="K77">
        <v>50</v>
      </c>
      <c r="L77">
        <v>47.5</v>
      </c>
      <c r="M77">
        <v>62</v>
      </c>
    </row>
    <row r="78" spans="1:13" ht="15.75" x14ac:dyDescent="0.25">
      <c r="A78">
        <v>77</v>
      </c>
      <c r="B78" s="1" t="s">
        <v>166</v>
      </c>
      <c r="C78" s="1" t="s">
        <v>167</v>
      </c>
      <c r="D78">
        <v>51.5</v>
      </c>
      <c r="E78">
        <v>31</v>
      </c>
      <c r="F78">
        <v>57.5</v>
      </c>
      <c r="G78">
        <v>42</v>
      </c>
      <c r="H78">
        <v>48</v>
      </c>
      <c r="I78">
        <v>30</v>
      </c>
      <c r="J78">
        <v>34</v>
      </c>
      <c r="K78">
        <v>50</v>
      </c>
      <c r="L78">
        <v>57.5</v>
      </c>
      <c r="M78">
        <v>61</v>
      </c>
    </row>
    <row r="79" spans="1:13" ht="15.75" x14ac:dyDescent="0.25">
      <c r="A79">
        <v>78</v>
      </c>
      <c r="B79" s="1" t="s">
        <v>168</v>
      </c>
      <c r="C79" s="1" t="s">
        <v>169</v>
      </c>
      <c r="D79">
        <v>51</v>
      </c>
      <c r="E79">
        <v>33</v>
      </c>
      <c r="F79">
        <v>57</v>
      </c>
      <c r="G79">
        <v>22.5</v>
      </c>
      <c r="H79">
        <v>42</v>
      </c>
      <c r="I79">
        <v>25</v>
      </c>
      <c r="J79">
        <v>44.5</v>
      </c>
      <c r="K79">
        <v>49.5</v>
      </c>
      <c r="L79">
        <v>43.5</v>
      </c>
      <c r="M79">
        <v>61</v>
      </c>
    </row>
    <row r="80" spans="1:13" ht="15.75" x14ac:dyDescent="0.25">
      <c r="A80">
        <v>79</v>
      </c>
      <c r="B80" s="1" t="s">
        <v>170</v>
      </c>
      <c r="C80" s="1" t="s">
        <v>171</v>
      </c>
      <c r="D80">
        <v>57</v>
      </c>
      <c r="E80">
        <v>47</v>
      </c>
      <c r="F80">
        <v>48.5</v>
      </c>
      <c r="G80">
        <v>46</v>
      </c>
      <c r="H80">
        <v>47.5</v>
      </c>
      <c r="I80">
        <v>35.5</v>
      </c>
      <c r="J80">
        <v>57.5</v>
      </c>
      <c r="K80">
        <v>49</v>
      </c>
      <c r="L80">
        <v>46</v>
      </c>
      <c r="M80">
        <v>66</v>
      </c>
    </row>
    <row r="81" spans="1:13" ht="15.75" x14ac:dyDescent="0.25">
      <c r="A81">
        <v>80</v>
      </c>
      <c r="B81" s="1" t="s">
        <v>172</v>
      </c>
      <c r="C81" s="1" t="s">
        <v>173</v>
      </c>
      <c r="D81">
        <v>43</v>
      </c>
      <c r="E81">
        <v>8</v>
      </c>
      <c r="F81">
        <v>10</v>
      </c>
      <c r="G81">
        <v>8</v>
      </c>
      <c r="H81">
        <v>9</v>
      </c>
      <c r="I81">
        <v>6.5</v>
      </c>
      <c r="J81">
        <v>27.5</v>
      </c>
      <c r="K81">
        <v>12</v>
      </c>
      <c r="L81">
        <v>18</v>
      </c>
      <c r="M81">
        <v>52</v>
      </c>
    </row>
    <row r="82" spans="1:13" ht="15.75" x14ac:dyDescent="0.25">
      <c r="A82">
        <v>81</v>
      </c>
      <c r="B82" s="1" t="s">
        <v>174</v>
      </c>
      <c r="C82" s="1" t="s">
        <v>175</v>
      </c>
      <c r="D82">
        <v>21</v>
      </c>
      <c r="E82">
        <v>13</v>
      </c>
      <c r="F82">
        <v>24</v>
      </c>
      <c r="G82">
        <v>28</v>
      </c>
      <c r="H82">
        <v>37.5</v>
      </c>
      <c r="I82">
        <v>18</v>
      </c>
      <c r="J82">
        <v>36.5</v>
      </c>
      <c r="K82">
        <v>14.5</v>
      </c>
      <c r="L82">
        <v>13</v>
      </c>
      <c r="M82">
        <v>61</v>
      </c>
    </row>
    <row r="83" spans="1:13" ht="15.75" x14ac:dyDescent="0.25">
      <c r="A83">
        <v>82</v>
      </c>
      <c r="B83" s="1" t="s">
        <v>176</v>
      </c>
      <c r="C83" s="1" t="s">
        <v>177</v>
      </c>
      <c r="D83">
        <v>59.5</v>
      </c>
      <c r="E83">
        <v>41</v>
      </c>
      <c r="F83">
        <v>48</v>
      </c>
      <c r="G83">
        <v>35</v>
      </c>
      <c r="H83">
        <v>36.5</v>
      </c>
      <c r="I83">
        <v>28</v>
      </c>
      <c r="J83">
        <v>30</v>
      </c>
      <c r="K83">
        <v>39.5</v>
      </c>
      <c r="L83">
        <v>30.5</v>
      </c>
      <c r="M83">
        <v>62</v>
      </c>
    </row>
    <row r="84" spans="1:13" ht="15.75" x14ac:dyDescent="0.25">
      <c r="A84">
        <v>83</v>
      </c>
      <c r="B84" s="1" t="s">
        <v>178</v>
      </c>
      <c r="C84" s="1" t="s">
        <v>179</v>
      </c>
      <c r="D84">
        <v>15</v>
      </c>
      <c r="E84">
        <v>9</v>
      </c>
      <c r="F84">
        <v>29.5</v>
      </c>
      <c r="G84">
        <v>16</v>
      </c>
      <c r="H84">
        <v>22.5</v>
      </c>
      <c r="I84">
        <v>16.5</v>
      </c>
      <c r="J84">
        <v>35.5</v>
      </c>
      <c r="K84">
        <v>8.5</v>
      </c>
      <c r="L84">
        <v>19</v>
      </c>
      <c r="M84">
        <v>53</v>
      </c>
    </row>
    <row r="85" spans="1:13" ht="15.75" x14ac:dyDescent="0.25">
      <c r="A85">
        <v>84</v>
      </c>
      <c r="B85" s="1" t="s">
        <v>180</v>
      </c>
      <c r="C85" s="1" t="s">
        <v>181</v>
      </c>
      <c r="D85">
        <v>44</v>
      </c>
      <c r="E85">
        <v>36</v>
      </c>
      <c r="F85">
        <v>46</v>
      </c>
      <c r="G85">
        <v>40.5</v>
      </c>
      <c r="H85">
        <v>44</v>
      </c>
      <c r="I85">
        <v>34</v>
      </c>
      <c r="J85">
        <v>38</v>
      </c>
      <c r="K85">
        <v>46</v>
      </c>
      <c r="L85">
        <v>50</v>
      </c>
      <c r="M85">
        <v>54</v>
      </c>
    </row>
    <row r="86" spans="1:13" ht="15.75" x14ac:dyDescent="0.25">
      <c r="A86">
        <v>85</v>
      </c>
      <c r="B86" s="1" t="s">
        <v>182</v>
      </c>
      <c r="C86" s="1" t="s">
        <v>183</v>
      </c>
      <c r="D86">
        <v>50</v>
      </c>
      <c r="E86">
        <v>30</v>
      </c>
      <c r="F86">
        <v>47.54</v>
      </c>
      <c r="G86">
        <v>48.5</v>
      </c>
      <c r="H86">
        <v>56</v>
      </c>
      <c r="I86">
        <v>33.5</v>
      </c>
      <c r="J86">
        <v>60</v>
      </c>
      <c r="K86">
        <v>49</v>
      </c>
      <c r="L86">
        <v>33</v>
      </c>
      <c r="M86">
        <v>65</v>
      </c>
    </row>
    <row r="87" spans="1:13" ht="15.75" x14ac:dyDescent="0.25">
      <c r="A87">
        <v>86</v>
      </c>
      <c r="B87" s="1" t="s">
        <v>184</v>
      </c>
      <c r="C87" s="1" t="s">
        <v>185</v>
      </c>
      <c r="D87">
        <v>58</v>
      </c>
      <c r="E87">
        <v>34</v>
      </c>
      <c r="F87">
        <v>46.5</v>
      </c>
      <c r="G87">
        <v>39</v>
      </c>
      <c r="H87">
        <v>33</v>
      </c>
      <c r="I87">
        <v>34.5</v>
      </c>
      <c r="J87">
        <v>21.5</v>
      </c>
      <c r="K87">
        <v>29.5</v>
      </c>
      <c r="L87">
        <v>30.5</v>
      </c>
      <c r="M87">
        <v>58</v>
      </c>
    </row>
    <row r="88" spans="1:13" ht="15.75" x14ac:dyDescent="0.25">
      <c r="A88">
        <v>87</v>
      </c>
      <c r="B88" s="1" t="s">
        <v>186</v>
      </c>
      <c r="C88" s="1" t="s">
        <v>187</v>
      </c>
      <c r="D88">
        <v>46.5</v>
      </c>
      <c r="E88">
        <v>38.5</v>
      </c>
      <c r="F88">
        <v>62.5</v>
      </c>
      <c r="G88">
        <v>48</v>
      </c>
      <c r="H88">
        <v>46</v>
      </c>
      <c r="I88">
        <v>39.5</v>
      </c>
      <c r="J88">
        <v>42</v>
      </c>
      <c r="K88">
        <v>33.5</v>
      </c>
      <c r="L88">
        <v>42</v>
      </c>
      <c r="M88">
        <v>62</v>
      </c>
    </row>
    <row r="89" spans="1:13" ht="15.75" x14ac:dyDescent="0.25">
      <c r="A89">
        <v>88</v>
      </c>
      <c r="B89" s="1" t="s">
        <v>188</v>
      </c>
      <c r="C89" s="1" t="s">
        <v>189</v>
      </c>
      <c r="D89">
        <v>64.5</v>
      </c>
      <c r="E89">
        <v>49.5</v>
      </c>
      <c r="F89">
        <v>53</v>
      </c>
      <c r="G89">
        <v>60</v>
      </c>
      <c r="H89">
        <v>62</v>
      </c>
      <c r="I89">
        <v>48.5</v>
      </c>
      <c r="J89">
        <v>68.5</v>
      </c>
      <c r="K89">
        <v>60</v>
      </c>
      <c r="L89">
        <v>46</v>
      </c>
      <c r="M89">
        <v>63</v>
      </c>
    </row>
    <row r="90" spans="1:13" ht="15.75" x14ac:dyDescent="0.25">
      <c r="A90">
        <v>89</v>
      </c>
      <c r="B90" s="1" t="s">
        <v>190</v>
      </c>
      <c r="C90" s="1" t="s">
        <v>191</v>
      </c>
      <c r="D90">
        <v>64</v>
      </c>
      <c r="E90">
        <v>45</v>
      </c>
      <c r="F90">
        <v>56</v>
      </c>
      <c r="G90">
        <v>70</v>
      </c>
      <c r="H90">
        <v>67</v>
      </c>
      <c r="I90">
        <v>57</v>
      </c>
      <c r="J90">
        <v>21</v>
      </c>
      <c r="K90">
        <v>60.5</v>
      </c>
      <c r="L90">
        <v>50.5</v>
      </c>
      <c r="M90">
        <v>66</v>
      </c>
    </row>
    <row r="91" spans="1:13" ht="15.75" x14ac:dyDescent="0.25">
      <c r="A91">
        <v>90</v>
      </c>
      <c r="B91" s="1" t="s">
        <v>192</v>
      </c>
      <c r="C91" s="1" t="s">
        <v>193</v>
      </c>
      <c r="D91">
        <v>55.5</v>
      </c>
      <c r="E91">
        <v>30</v>
      </c>
      <c r="F91">
        <v>53</v>
      </c>
      <c r="G91">
        <v>42</v>
      </c>
      <c r="H91">
        <v>53</v>
      </c>
      <c r="I91">
        <v>30.5</v>
      </c>
      <c r="J91">
        <v>68.5</v>
      </c>
      <c r="K91">
        <v>44.5</v>
      </c>
      <c r="L91">
        <v>47</v>
      </c>
      <c r="M91">
        <v>66</v>
      </c>
    </row>
    <row r="92" spans="1:13" ht="15.75" x14ac:dyDescent="0.25">
      <c r="A92">
        <v>91</v>
      </c>
      <c r="B92" s="1" t="s">
        <v>194</v>
      </c>
      <c r="C92" s="1" t="s">
        <v>195</v>
      </c>
      <c r="D92">
        <v>51.5</v>
      </c>
      <c r="E92">
        <v>45</v>
      </c>
      <c r="F92">
        <v>47</v>
      </c>
      <c r="G92">
        <v>50</v>
      </c>
      <c r="H92">
        <v>58</v>
      </c>
      <c r="I92">
        <v>24.5</v>
      </c>
      <c r="J92">
        <v>18</v>
      </c>
      <c r="K92">
        <v>50</v>
      </c>
      <c r="L92">
        <v>45.5</v>
      </c>
      <c r="M92">
        <v>67</v>
      </c>
    </row>
    <row r="93" spans="1:13" ht="15.75" x14ac:dyDescent="0.25">
      <c r="A93">
        <v>92</v>
      </c>
      <c r="B93" s="1" t="s">
        <v>196</v>
      </c>
      <c r="C93" s="1" t="s">
        <v>197</v>
      </c>
      <c r="D93">
        <v>45.5</v>
      </c>
      <c r="E93">
        <v>44</v>
      </c>
      <c r="F93">
        <v>49.5</v>
      </c>
      <c r="G93">
        <v>51</v>
      </c>
      <c r="H93">
        <v>37</v>
      </c>
      <c r="I93">
        <v>31.5</v>
      </c>
      <c r="J93">
        <v>34</v>
      </c>
      <c r="K93">
        <v>34</v>
      </c>
      <c r="L93">
        <v>69</v>
      </c>
      <c r="M93">
        <v>65</v>
      </c>
    </row>
    <row r="94" spans="1:13" ht="15.75" x14ac:dyDescent="0.25">
      <c r="A94">
        <v>93</v>
      </c>
      <c r="B94" s="1" t="s">
        <v>198</v>
      </c>
      <c r="C94" s="1" t="s">
        <v>199</v>
      </c>
      <c r="D94">
        <v>11.5</v>
      </c>
      <c r="E94">
        <v>6.5</v>
      </c>
      <c r="F94">
        <v>15.75</v>
      </c>
      <c r="G94">
        <v>11</v>
      </c>
      <c r="H94">
        <v>12.5</v>
      </c>
      <c r="I94">
        <v>16</v>
      </c>
      <c r="J94">
        <v>10</v>
      </c>
      <c r="K94">
        <v>16</v>
      </c>
      <c r="L94">
        <v>12</v>
      </c>
      <c r="M94">
        <v>50</v>
      </c>
    </row>
    <row r="95" spans="1:13" ht="15.75" x14ac:dyDescent="0.25">
      <c r="A95">
        <v>94</v>
      </c>
      <c r="B95" s="1" t="s">
        <v>200</v>
      </c>
      <c r="C95" s="1" t="s">
        <v>201</v>
      </c>
      <c r="D95">
        <v>12.5</v>
      </c>
      <c r="E95">
        <v>43</v>
      </c>
      <c r="F95">
        <v>18</v>
      </c>
      <c r="G95">
        <v>48</v>
      </c>
      <c r="H95">
        <v>12.5</v>
      </c>
      <c r="I95">
        <v>21</v>
      </c>
      <c r="J95">
        <v>27.5</v>
      </c>
      <c r="K95">
        <v>43</v>
      </c>
      <c r="L95">
        <v>36.5</v>
      </c>
      <c r="M95">
        <v>61</v>
      </c>
    </row>
    <row r="96" spans="1:13" ht="15" x14ac:dyDescent="0.25">
      <c r="A96">
        <v>95</v>
      </c>
      <c r="B96" t="s">
        <v>202</v>
      </c>
      <c r="C96" t="s">
        <v>203</v>
      </c>
      <c r="D96">
        <v>55</v>
      </c>
      <c r="E96">
        <v>33</v>
      </c>
      <c r="F96">
        <v>51</v>
      </c>
      <c r="G96">
        <v>41</v>
      </c>
      <c r="H96">
        <v>45.5</v>
      </c>
      <c r="I96">
        <v>46.5</v>
      </c>
      <c r="J96">
        <v>47</v>
      </c>
      <c r="K96">
        <v>42.5</v>
      </c>
      <c r="L96">
        <v>37</v>
      </c>
      <c r="M96">
        <v>61</v>
      </c>
    </row>
    <row r="97" spans="1:13" ht="15" x14ac:dyDescent="0.25">
      <c r="A97">
        <v>96</v>
      </c>
      <c r="B97" t="s">
        <v>204</v>
      </c>
      <c r="C97" t="s">
        <v>205</v>
      </c>
      <c r="D97">
        <v>32</v>
      </c>
      <c r="E97">
        <v>10</v>
      </c>
      <c r="F97">
        <v>25</v>
      </c>
      <c r="G97">
        <v>39.5</v>
      </c>
      <c r="H97">
        <v>37</v>
      </c>
      <c r="I97">
        <v>14.5</v>
      </c>
      <c r="J97">
        <v>44.5</v>
      </c>
      <c r="K97">
        <v>12</v>
      </c>
      <c r="L97">
        <v>20</v>
      </c>
      <c r="M97">
        <v>62</v>
      </c>
    </row>
    <row r="98" spans="1:13" ht="15" x14ac:dyDescent="0.25">
      <c r="A98">
        <v>97</v>
      </c>
      <c r="B98" t="s">
        <v>206</v>
      </c>
      <c r="C98" t="s">
        <v>207</v>
      </c>
      <c r="D98">
        <v>19.5</v>
      </c>
      <c r="E98">
        <v>10</v>
      </c>
      <c r="F98">
        <v>10.5</v>
      </c>
      <c r="G98">
        <v>12.5</v>
      </c>
      <c r="H98">
        <v>5</v>
      </c>
      <c r="I98">
        <v>12</v>
      </c>
      <c r="J98">
        <v>14.5</v>
      </c>
      <c r="K98">
        <v>14</v>
      </c>
      <c r="L98">
        <v>15</v>
      </c>
      <c r="M98">
        <v>54</v>
      </c>
    </row>
    <row r="99" spans="1:13" ht="15" x14ac:dyDescent="0.25">
      <c r="A99">
        <v>98</v>
      </c>
      <c r="B99" t="s">
        <v>208</v>
      </c>
      <c r="C99" t="s">
        <v>209</v>
      </c>
      <c r="D99">
        <v>19</v>
      </c>
      <c r="E99">
        <v>11</v>
      </c>
      <c r="F99">
        <v>17</v>
      </c>
      <c r="G99">
        <v>27</v>
      </c>
      <c r="H99">
        <v>14</v>
      </c>
      <c r="I99">
        <v>18.5</v>
      </c>
      <c r="J99">
        <v>36</v>
      </c>
      <c r="K99">
        <v>48.5</v>
      </c>
      <c r="L99">
        <v>42.5</v>
      </c>
      <c r="M99">
        <v>41</v>
      </c>
    </row>
    <row r="100" spans="1:13" ht="15" x14ac:dyDescent="0.25">
      <c r="A100">
        <v>99</v>
      </c>
      <c r="B100" t="s">
        <v>210</v>
      </c>
      <c r="C100" t="s">
        <v>211</v>
      </c>
      <c r="D100">
        <v>54</v>
      </c>
      <c r="E100">
        <v>44.5</v>
      </c>
      <c r="F100">
        <v>57</v>
      </c>
      <c r="G100">
        <v>39</v>
      </c>
      <c r="H100">
        <v>46</v>
      </c>
      <c r="I100">
        <v>40</v>
      </c>
      <c r="J100">
        <v>32</v>
      </c>
      <c r="K100">
        <v>50</v>
      </c>
      <c r="L100">
        <v>34</v>
      </c>
      <c r="M100">
        <v>64</v>
      </c>
    </row>
    <row r="101" spans="1:13" ht="15" x14ac:dyDescent="0.25">
      <c r="A101">
        <v>100</v>
      </c>
      <c r="B101" t="s">
        <v>212</v>
      </c>
      <c r="C101" t="s">
        <v>213</v>
      </c>
      <c r="D101">
        <v>42</v>
      </c>
      <c r="E101">
        <v>30.5</v>
      </c>
      <c r="F101">
        <v>33.5</v>
      </c>
      <c r="G101">
        <v>55.5</v>
      </c>
      <c r="H101">
        <v>40</v>
      </c>
      <c r="I101">
        <v>26</v>
      </c>
      <c r="J101">
        <v>49.5</v>
      </c>
      <c r="K101">
        <v>44.5</v>
      </c>
      <c r="L101">
        <v>33.5</v>
      </c>
      <c r="M101">
        <v>63</v>
      </c>
    </row>
    <row r="102" spans="1:13" ht="15" x14ac:dyDescent="0.25">
      <c r="A102">
        <v>101</v>
      </c>
      <c r="B102" t="s">
        <v>214</v>
      </c>
      <c r="C102" t="s">
        <v>215</v>
      </c>
      <c r="D102">
        <v>45.5</v>
      </c>
      <c r="E102">
        <v>35</v>
      </c>
      <c r="F102">
        <v>43</v>
      </c>
      <c r="G102">
        <v>35</v>
      </c>
      <c r="H102">
        <v>50</v>
      </c>
      <c r="I102">
        <v>25.5</v>
      </c>
      <c r="J102">
        <v>27</v>
      </c>
      <c r="K102">
        <v>45.5</v>
      </c>
      <c r="L102">
        <v>44.5</v>
      </c>
      <c r="M102">
        <v>65</v>
      </c>
    </row>
    <row r="103" spans="1:13" ht="15" x14ac:dyDescent="0.25">
      <c r="A103">
        <v>102</v>
      </c>
      <c r="B103" t="s">
        <v>216</v>
      </c>
      <c r="C103" t="s">
        <v>217</v>
      </c>
      <c r="D103">
        <v>54</v>
      </c>
      <c r="E103">
        <v>32</v>
      </c>
      <c r="F103">
        <v>55</v>
      </c>
      <c r="G103">
        <v>45</v>
      </c>
      <c r="H103">
        <v>58.5</v>
      </c>
      <c r="I103">
        <v>44</v>
      </c>
      <c r="J103">
        <v>58.5</v>
      </c>
      <c r="K103">
        <v>51</v>
      </c>
      <c r="L103">
        <v>44.5</v>
      </c>
      <c r="M103">
        <v>62</v>
      </c>
    </row>
    <row r="104" spans="1:13" ht="15" x14ac:dyDescent="0.25">
      <c r="A104">
        <v>103</v>
      </c>
      <c r="B104" t="s">
        <v>218</v>
      </c>
      <c r="C104" t="s">
        <v>219</v>
      </c>
      <c r="D104">
        <v>52.5</v>
      </c>
      <c r="E104">
        <v>41</v>
      </c>
      <c r="F104">
        <v>55.5</v>
      </c>
      <c r="G104">
        <v>49</v>
      </c>
      <c r="H104">
        <v>61</v>
      </c>
      <c r="I104">
        <v>30</v>
      </c>
      <c r="J104">
        <v>61</v>
      </c>
      <c r="K104">
        <v>41</v>
      </c>
      <c r="L104">
        <v>62</v>
      </c>
      <c r="M104">
        <v>65</v>
      </c>
    </row>
    <row r="105" spans="1:13" ht="15" x14ac:dyDescent="0.25">
      <c r="A105">
        <v>104</v>
      </c>
      <c r="B105" t="s">
        <v>220</v>
      </c>
      <c r="C105" t="s">
        <v>221</v>
      </c>
      <c r="D105">
        <v>41</v>
      </c>
      <c r="E105">
        <v>30.5</v>
      </c>
      <c r="F105">
        <v>51.5</v>
      </c>
      <c r="G105">
        <v>41.5</v>
      </c>
      <c r="H105">
        <v>36</v>
      </c>
      <c r="I105">
        <v>30.5</v>
      </c>
      <c r="J105">
        <v>23</v>
      </c>
      <c r="K105">
        <v>45</v>
      </c>
      <c r="L105">
        <v>45</v>
      </c>
      <c r="M105">
        <v>63</v>
      </c>
    </row>
    <row r="106" spans="1:13" ht="15" x14ac:dyDescent="0.25">
      <c r="A106">
        <v>105</v>
      </c>
      <c r="B106" t="s">
        <v>222</v>
      </c>
      <c r="C106" t="s">
        <v>223</v>
      </c>
      <c r="D106">
        <v>61.5</v>
      </c>
      <c r="E106">
        <v>39</v>
      </c>
      <c r="F106">
        <v>49.5</v>
      </c>
      <c r="G106">
        <v>54</v>
      </c>
      <c r="H106">
        <v>63</v>
      </c>
      <c r="I106">
        <v>47</v>
      </c>
      <c r="J106">
        <v>21</v>
      </c>
      <c r="K106">
        <v>55.5</v>
      </c>
      <c r="L106">
        <v>42</v>
      </c>
      <c r="M106">
        <v>66</v>
      </c>
    </row>
    <row r="107" spans="1:13" ht="15" x14ac:dyDescent="0.25">
      <c r="A107">
        <v>106</v>
      </c>
      <c r="B107" t="s">
        <v>224</v>
      </c>
      <c r="C107" t="s">
        <v>225</v>
      </c>
      <c r="D107">
        <v>57.5</v>
      </c>
      <c r="E107">
        <v>43</v>
      </c>
      <c r="F107">
        <v>58.5</v>
      </c>
      <c r="G107">
        <v>49</v>
      </c>
      <c r="H107">
        <v>48</v>
      </c>
      <c r="I107">
        <v>37</v>
      </c>
      <c r="J107">
        <v>50.5</v>
      </c>
      <c r="K107">
        <v>46.5</v>
      </c>
      <c r="L107">
        <v>54</v>
      </c>
      <c r="M107">
        <v>68</v>
      </c>
    </row>
    <row r="108" spans="1:13" ht="15" x14ac:dyDescent="0.25">
      <c r="A108">
        <v>107</v>
      </c>
      <c r="B108" t="s">
        <v>226</v>
      </c>
      <c r="C108" t="s">
        <v>227</v>
      </c>
      <c r="D108">
        <v>7.5</v>
      </c>
      <c r="E108">
        <v>14.5</v>
      </c>
      <c r="F108">
        <v>19.75</v>
      </c>
      <c r="G108">
        <v>36</v>
      </c>
      <c r="H108">
        <v>11</v>
      </c>
      <c r="I108">
        <v>26.5</v>
      </c>
      <c r="J108">
        <v>20</v>
      </c>
      <c r="K108">
        <v>39.5</v>
      </c>
      <c r="L108">
        <v>34</v>
      </c>
      <c r="M108">
        <v>56</v>
      </c>
    </row>
    <row r="109" spans="1:13" ht="15" x14ac:dyDescent="0.25">
      <c r="A109">
        <v>108</v>
      </c>
      <c r="B109" t="s">
        <v>228</v>
      </c>
      <c r="C109" t="s">
        <v>229</v>
      </c>
      <c r="D109">
        <v>58</v>
      </c>
      <c r="E109">
        <v>41.5</v>
      </c>
      <c r="F109">
        <v>56.5</v>
      </c>
      <c r="G109">
        <v>54</v>
      </c>
      <c r="H109">
        <v>62</v>
      </c>
      <c r="I109">
        <v>29</v>
      </c>
      <c r="J109">
        <v>35</v>
      </c>
      <c r="K109">
        <v>47</v>
      </c>
      <c r="L109">
        <v>44.5</v>
      </c>
      <c r="M109">
        <v>64</v>
      </c>
    </row>
    <row r="110" spans="1:13" ht="15" x14ac:dyDescent="0.25">
      <c r="A110">
        <v>109</v>
      </c>
      <c r="B110" t="s">
        <v>230</v>
      </c>
      <c r="C110" t="s">
        <v>231</v>
      </c>
      <c r="D110">
        <v>41</v>
      </c>
      <c r="E110">
        <v>38</v>
      </c>
      <c r="F110">
        <v>39.5</v>
      </c>
      <c r="G110">
        <v>57</v>
      </c>
      <c r="H110">
        <v>36.5</v>
      </c>
      <c r="I110">
        <v>24</v>
      </c>
      <c r="J110">
        <v>23.5</v>
      </c>
      <c r="K110">
        <v>37</v>
      </c>
      <c r="L110">
        <v>26</v>
      </c>
      <c r="M110">
        <v>55</v>
      </c>
    </row>
    <row r="111" spans="1:13" ht="15" x14ac:dyDescent="0.25">
      <c r="A111">
        <v>110</v>
      </c>
      <c r="B111" t="s">
        <v>232</v>
      </c>
      <c r="C111" t="s">
        <v>233</v>
      </c>
      <c r="D111">
        <v>5.5</v>
      </c>
      <c r="E111">
        <v>13</v>
      </c>
      <c r="F111">
        <v>15.25</v>
      </c>
      <c r="G111">
        <v>12</v>
      </c>
      <c r="H111">
        <v>4.5</v>
      </c>
      <c r="I111">
        <v>12</v>
      </c>
      <c r="J111">
        <v>34</v>
      </c>
      <c r="K111">
        <v>1</v>
      </c>
      <c r="L111">
        <v>34</v>
      </c>
      <c r="M111">
        <v>57</v>
      </c>
    </row>
    <row r="112" spans="1:13" ht="15" x14ac:dyDescent="0.25">
      <c r="A112">
        <v>111</v>
      </c>
      <c r="B112" t="s">
        <v>234</v>
      </c>
      <c r="C112" t="s">
        <v>235</v>
      </c>
      <c r="D112">
        <v>14</v>
      </c>
      <c r="E112">
        <v>33</v>
      </c>
      <c r="F112">
        <v>42</v>
      </c>
      <c r="G112">
        <v>15.5</v>
      </c>
      <c r="H112">
        <v>16.5</v>
      </c>
      <c r="I112">
        <v>21.5</v>
      </c>
      <c r="J112">
        <v>58</v>
      </c>
      <c r="K112">
        <v>17</v>
      </c>
      <c r="L112">
        <v>17</v>
      </c>
      <c r="M112">
        <v>61</v>
      </c>
    </row>
    <row r="113" spans="1:13" ht="15" x14ac:dyDescent="0.25">
      <c r="A113">
        <v>112</v>
      </c>
      <c r="B113" t="s">
        <v>236</v>
      </c>
      <c r="C113" t="s">
        <v>237</v>
      </c>
      <c r="D113">
        <v>49</v>
      </c>
      <c r="E113">
        <v>37</v>
      </c>
      <c r="F113">
        <v>38.5</v>
      </c>
      <c r="G113">
        <v>38.5</v>
      </c>
      <c r="H113">
        <v>50.5</v>
      </c>
      <c r="I113">
        <v>27</v>
      </c>
      <c r="J113">
        <v>24.5</v>
      </c>
      <c r="K113">
        <v>44</v>
      </c>
      <c r="L113">
        <v>43</v>
      </c>
      <c r="M113">
        <v>58</v>
      </c>
    </row>
    <row r="114" spans="1:13" ht="15" x14ac:dyDescent="0.25">
      <c r="A114">
        <v>113</v>
      </c>
      <c r="B114" t="s">
        <v>238</v>
      </c>
      <c r="C114" t="s">
        <v>239</v>
      </c>
      <c r="D114">
        <v>52.5</v>
      </c>
      <c r="E114">
        <v>29.5</v>
      </c>
      <c r="F114">
        <v>52.5</v>
      </c>
      <c r="G114">
        <v>40.5</v>
      </c>
      <c r="H114">
        <v>48.5</v>
      </c>
      <c r="I114">
        <v>29</v>
      </c>
      <c r="J114">
        <v>24</v>
      </c>
      <c r="K114">
        <v>46</v>
      </c>
      <c r="L114">
        <v>45</v>
      </c>
      <c r="M114">
        <v>65</v>
      </c>
    </row>
    <row r="115" spans="1:13" ht="15" x14ac:dyDescent="0.25">
      <c r="A115">
        <v>114</v>
      </c>
      <c r="B115" t="s">
        <v>240</v>
      </c>
      <c r="C115" t="s">
        <v>241</v>
      </c>
      <c r="D115">
        <v>45.5</v>
      </c>
      <c r="E115">
        <v>22.5</v>
      </c>
      <c r="F115">
        <v>50</v>
      </c>
      <c r="G115">
        <v>29</v>
      </c>
      <c r="H115">
        <v>33.5</v>
      </c>
      <c r="I115">
        <v>27</v>
      </c>
      <c r="J115">
        <v>36.5</v>
      </c>
      <c r="K115">
        <v>36</v>
      </c>
      <c r="L115">
        <v>25</v>
      </c>
      <c r="M115">
        <v>65</v>
      </c>
    </row>
    <row r="116" spans="1:13" ht="15" x14ac:dyDescent="0.25">
      <c r="A116">
        <v>115</v>
      </c>
      <c r="B116" t="s">
        <v>242</v>
      </c>
      <c r="C116" t="s">
        <v>243</v>
      </c>
      <c r="D116">
        <v>39</v>
      </c>
      <c r="E116">
        <v>13</v>
      </c>
      <c r="F116">
        <v>20</v>
      </c>
      <c r="G116">
        <v>37</v>
      </c>
      <c r="H116">
        <v>14</v>
      </c>
      <c r="I116">
        <v>19</v>
      </c>
      <c r="J116">
        <v>21</v>
      </c>
      <c r="K116">
        <v>42</v>
      </c>
      <c r="L116">
        <v>36</v>
      </c>
      <c r="M116">
        <v>52</v>
      </c>
    </row>
    <row r="117" spans="1:13" ht="15" x14ac:dyDescent="0.25">
      <c r="A117">
        <v>116</v>
      </c>
      <c r="B117" t="s">
        <v>244</v>
      </c>
      <c r="C117" t="s">
        <v>245</v>
      </c>
      <c r="D117">
        <v>55.5</v>
      </c>
      <c r="E117">
        <v>43</v>
      </c>
      <c r="F117">
        <v>41</v>
      </c>
      <c r="G117">
        <v>35</v>
      </c>
      <c r="H117">
        <v>38</v>
      </c>
      <c r="I117">
        <v>17</v>
      </c>
      <c r="J117">
        <v>33</v>
      </c>
      <c r="K117">
        <v>42</v>
      </c>
      <c r="L117">
        <v>37.5</v>
      </c>
      <c r="M117">
        <v>62</v>
      </c>
    </row>
    <row r="118" spans="1:13" ht="15" x14ac:dyDescent="0.25">
      <c r="A118">
        <v>117</v>
      </c>
      <c r="B118" t="s">
        <v>246</v>
      </c>
      <c r="C118" t="s">
        <v>247</v>
      </c>
      <c r="D118">
        <v>47.5</v>
      </c>
      <c r="E118">
        <v>35</v>
      </c>
      <c r="F118">
        <v>45.5</v>
      </c>
      <c r="G118">
        <v>49.5</v>
      </c>
      <c r="H118">
        <v>36.5</v>
      </c>
      <c r="I118">
        <v>24.5</v>
      </c>
      <c r="J118">
        <v>48.5</v>
      </c>
      <c r="K118">
        <v>48</v>
      </c>
      <c r="L118">
        <v>32.5</v>
      </c>
      <c r="M118">
        <v>58</v>
      </c>
    </row>
    <row r="119" spans="1:13" ht="15" x14ac:dyDescent="0.25">
      <c r="A119">
        <v>118</v>
      </c>
      <c r="B119" t="s">
        <v>248</v>
      </c>
      <c r="C119" t="s">
        <v>249</v>
      </c>
      <c r="D119">
        <v>49</v>
      </c>
      <c r="E119">
        <v>46.5</v>
      </c>
      <c r="F119">
        <v>63</v>
      </c>
      <c r="G119">
        <v>51</v>
      </c>
      <c r="H119">
        <v>52.5</v>
      </c>
      <c r="I119">
        <v>50.5</v>
      </c>
      <c r="J119">
        <v>42</v>
      </c>
      <c r="K119">
        <v>53</v>
      </c>
      <c r="L119">
        <v>46</v>
      </c>
      <c r="M119">
        <v>66</v>
      </c>
    </row>
    <row r="120" spans="1:13" ht="15" x14ac:dyDescent="0.25">
      <c r="A120">
        <v>119</v>
      </c>
      <c r="B120" t="s">
        <v>250</v>
      </c>
      <c r="C120" t="s">
        <v>251</v>
      </c>
      <c r="D120">
        <v>20</v>
      </c>
      <c r="E120">
        <v>17</v>
      </c>
      <c r="F120">
        <v>16.5</v>
      </c>
      <c r="G120">
        <v>16</v>
      </c>
      <c r="H120">
        <v>9</v>
      </c>
      <c r="I120">
        <v>9.5</v>
      </c>
      <c r="J120">
        <v>46</v>
      </c>
      <c r="K120">
        <v>26</v>
      </c>
      <c r="L120">
        <v>28</v>
      </c>
      <c r="M120">
        <v>51</v>
      </c>
    </row>
    <row r="121" spans="1:13" ht="15" x14ac:dyDescent="0.25">
      <c r="A121">
        <v>120</v>
      </c>
      <c r="B121" t="s">
        <v>252</v>
      </c>
      <c r="C121" t="s">
        <v>253</v>
      </c>
      <c r="D121">
        <v>54.5</v>
      </c>
      <c r="E121">
        <v>42</v>
      </c>
      <c r="F121">
        <v>55.5</v>
      </c>
      <c r="G121">
        <v>42</v>
      </c>
      <c r="H121">
        <v>44</v>
      </c>
      <c r="I121">
        <v>36.5</v>
      </c>
      <c r="J121">
        <v>38.5</v>
      </c>
      <c r="K121">
        <v>37.5</v>
      </c>
      <c r="L121">
        <v>40.5</v>
      </c>
      <c r="M121">
        <v>66</v>
      </c>
    </row>
    <row r="122" spans="1:13" ht="15" x14ac:dyDescent="0.25">
      <c r="A122">
        <v>121</v>
      </c>
      <c r="B122" t="s">
        <v>254</v>
      </c>
      <c r="C122" t="s">
        <v>255</v>
      </c>
      <c r="D122">
        <v>14.5</v>
      </c>
      <c r="E122">
        <v>35</v>
      </c>
      <c r="F122">
        <v>11.5</v>
      </c>
      <c r="G122">
        <v>19.5</v>
      </c>
      <c r="H122">
        <v>7.5</v>
      </c>
      <c r="I122">
        <v>17</v>
      </c>
      <c r="J122">
        <v>15</v>
      </c>
      <c r="K122">
        <v>25</v>
      </c>
      <c r="L122">
        <v>7</v>
      </c>
      <c r="M122">
        <v>54</v>
      </c>
    </row>
    <row r="123" spans="1:13" ht="15" x14ac:dyDescent="0.25">
      <c r="A123">
        <v>122</v>
      </c>
      <c r="B123" t="s">
        <v>256</v>
      </c>
      <c r="C123" t="s">
        <v>257</v>
      </c>
      <c r="D123">
        <v>22.5</v>
      </c>
      <c r="E123">
        <v>7.5</v>
      </c>
      <c r="F123">
        <v>14.5</v>
      </c>
      <c r="G123">
        <v>17</v>
      </c>
      <c r="H123">
        <v>3</v>
      </c>
      <c r="I123">
        <v>16</v>
      </c>
      <c r="J123">
        <v>68.5</v>
      </c>
      <c r="K123">
        <v>23</v>
      </c>
      <c r="L123">
        <v>10</v>
      </c>
      <c r="M123">
        <v>40</v>
      </c>
    </row>
    <row r="124" spans="1:13" ht="15" x14ac:dyDescent="0.25">
      <c r="A124">
        <v>123</v>
      </c>
      <c r="B124" t="s">
        <v>258</v>
      </c>
      <c r="C124" t="s">
        <v>259</v>
      </c>
      <c r="D124">
        <v>51</v>
      </c>
      <c r="E124">
        <v>38</v>
      </c>
      <c r="F124">
        <v>44</v>
      </c>
      <c r="G124">
        <v>45</v>
      </c>
      <c r="H124">
        <v>30</v>
      </c>
      <c r="I124">
        <v>24.5</v>
      </c>
      <c r="J124">
        <v>23.5</v>
      </c>
      <c r="K124">
        <v>41.5</v>
      </c>
      <c r="L124">
        <v>33</v>
      </c>
      <c r="M124">
        <v>49</v>
      </c>
    </row>
    <row r="125" spans="1:13" ht="15" x14ac:dyDescent="0.25">
      <c r="A125">
        <v>124</v>
      </c>
      <c r="B125" t="s">
        <v>260</v>
      </c>
      <c r="C125" t="s">
        <v>261</v>
      </c>
      <c r="D125">
        <v>59</v>
      </c>
      <c r="E125">
        <v>43</v>
      </c>
      <c r="F125">
        <v>59</v>
      </c>
      <c r="G125">
        <v>60</v>
      </c>
      <c r="H125">
        <v>57</v>
      </c>
      <c r="I125">
        <v>38.5</v>
      </c>
      <c r="J125">
        <v>32.5</v>
      </c>
      <c r="K125">
        <v>54</v>
      </c>
      <c r="L125">
        <v>55.5</v>
      </c>
      <c r="M125">
        <v>63</v>
      </c>
    </row>
    <row r="126" spans="1:13" ht="15" x14ac:dyDescent="0.25">
      <c r="A126">
        <v>125</v>
      </c>
      <c r="B126" t="s">
        <v>262</v>
      </c>
      <c r="C126" t="s">
        <v>263</v>
      </c>
      <c r="D126">
        <v>18</v>
      </c>
      <c r="E126">
        <v>35</v>
      </c>
      <c r="F126">
        <v>16</v>
      </c>
      <c r="G126">
        <v>44</v>
      </c>
      <c r="H126">
        <v>12.5</v>
      </c>
      <c r="I126">
        <v>29</v>
      </c>
      <c r="J126">
        <v>41.5</v>
      </c>
      <c r="K126">
        <v>25.5</v>
      </c>
      <c r="L126">
        <v>33.5</v>
      </c>
      <c r="M126">
        <v>59</v>
      </c>
    </row>
    <row r="127" spans="1:13" ht="15" x14ac:dyDescent="0.25">
      <c r="A127">
        <v>126</v>
      </c>
      <c r="B127" t="s">
        <v>264</v>
      </c>
      <c r="C127" t="s">
        <v>265</v>
      </c>
      <c r="D127">
        <v>45.5</v>
      </c>
      <c r="E127">
        <v>24.5</v>
      </c>
      <c r="F127">
        <v>43</v>
      </c>
      <c r="G127">
        <v>32</v>
      </c>
      <c r="H127">
        <v>18</v>
      </c>
      <c r="I127">
        <v>23.5</v>
      </c>
      <c r="J127">
        <v>29</v>
      </c>
      <c r="K127">
        <v>27.5</v>
      </c>
      <c r="L127">
        <v>24.5</v>
      </c>
      <c r="M127">
        <v>58</v>
      </c>
    </row>
    <row r="128" spans="1:13" ht="15" x14ac:dyDescent="0.25">
      <c r="A128">
        <v>127</v>
      </c>
      <c r="B128" t="s">
        <v>266</v>
      </c>
      <c r="C128" t="s">
        <v>267</v>
      </c>
      <c r="D128">
        <v>55.5</v>
      </c>
      <c r="E128">
        <v>36</v>
      </c>
      <c r="F128">
        <v>44.5</v>
      </c>
      <c r="G128">
        <v>56</v>
      </c>
      <c r="H128">
        <v>42</v>
      </c>
      <c r="I128">
        <v>28</v>
      </c>
      <c r="J128">
        <v>35.5</v>
      </c>
      <c r="K128">
        <v>47</v>
      </c>
      <c r="L128">
        <v>36.5</v>
      </c>
      <c r="M128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</vt:lpstr>
      <vt:lpstr>OBJ</vt:lpstr>
      <vt:lpstr>EXAM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Ernest</dc:creator>
  <cp:lastModifiedBy>Ernest</cp:lastModifiedBy>
  <dcterms:created xsi:type="dcterms:W3CDTF">2025-10-10T10:20:19Z</dcterms:created>
  <dcterms:modified xsi:type="dcterms:W3CDTF">2025-11-27T12:34:48Z</dcterms:modified>
</cp:coreProperties>
</file>