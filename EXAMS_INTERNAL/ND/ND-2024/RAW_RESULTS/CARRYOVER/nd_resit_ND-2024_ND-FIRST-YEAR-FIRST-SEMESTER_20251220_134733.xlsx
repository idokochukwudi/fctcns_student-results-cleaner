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19420" windowHeight="11020"/>
  </bookViews>
  <sheets>
    <sheet name="Sheet1" sheetId="1" r:id="rId1"/>
  </sheets>
  <externalReferences>
    <externalReference r:id="rId2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<sst xmlns="http://schemas.openxmlformats.org/spreadsheetml/2006/main" count="86" uniqueCount="86">
  <si>
    <t>EXAM NUMBER</t>
  </si>
  <si>
    <t>NAME</t>
  </si>
  <si>
    <t>GNS102</t>
  </si>
  <si>
    <t>NUS111</t>
  </si>
  <si>
    <t>NUS112</t>
  </si>
  <si>
    <t>NUS113</t>
  </si>
  <si>
    <t>NUS116</t>
  </si>
  <si>
    <t>NUS117</t>
  </si>
  <si>
    <t>FCTCONS/ND23/115</t>
  </si>
  <si>
    <t>FCTCONS/ND23/015</t>
  </si>
  <si>
    <t>FCTCONS/ND23/110</t>
  </si>
  <si>
    <t>FCTCONS/ND23/074</t>
  </si>
  <si>
    <t>FCTCONS/ND23/101</t>
  </si>
  <si>
    <t>FCTCONS/ND23/016</t>
  </si>
  <si>
    <t>FCTCONS/ND23/039</t>
  </si>
  <si>
    <t>FCTCONS/ND23/071</t>
  </si>
  <si>
    <t>FCTCONS/ND23/064</t>
  </si>
  <si>
    <t>FCTCONS/ND23/124</t>
  </si>
  <si>
    <t>FCTCONS/ND23/051</t>
  </si>
  <si>
    <t>FCTCONS/ND23/127</t>
  </si>
  <si>
    <t>FCTCONS/ND23/025</t>
  </si>
  <si>
    <t>FCTCONS/ND23/040</t>
  </si>
  <si>
    <t>FCTCONS/ND23/010</t>
  </si>
  <si>
    <t>FCTCONS/ND23/113</t>
  </si>
  <si>
    <t>FCTCONS/ND23/092</t>
  </si>
  <si>
    <t>FCTCONS/ND23/073</t>
  </si>
  <si>
    <t>FCTCONS/ND23/067</t>
  </si>
  <si>
    <t>FCTCONS/ND23/087</t>
  </si>
  <si>
    <t>FCTCONS/ND23/027</t>
  </si>
  <si>
    <t>FCTCONS/ND23/105</t>
  </si>
  <si>
    <t>FCTCONS/ND23/083</t>
  </si>
  <si>
    <t>FCTCONS/ND23/106</t>
  </si>
  <si>
    <t>FCTCONS/ND23/076</t>
  </si>
  <si>
    <t>FCTCONS/ND23/020</t>
  </si>
  <si>
    <t>FCTCONS/ND23/128</t>
  </si>
  <si>
    <t>FCTCONS/ND23/003</t>
  </si>
  <si>
    <t>FCTCONS/ND23/062</t>
  </si>
  <si>
    <t>FCTCONS/ND23/117</t>
  </si>
  <si>
    <t>FCTCONS/ND23/014</t>
  </si>
  <si>
    <t>FCTCONS/ND23/021</t>
  </si>
  <si>
    <t>FCTCONS/ND23/031</t>
  </si>
  <si>
    <t>FCTCONS/ND23/102</t>
  </si>
  <si>
    <t>FCTCONS/ND23/008</t>
  </si>
  <si>
    <t>FCTCONS/ND23/114</t>
  </si>
  <si>
    <t>FCTCONS/ND23/052</t>
  </si>
  <si>
    <t>FCTCONS/ND23/O38</t>
  </si>
  <si>
    <t>OBIORAH PRECIOUS IFUNANYA</t>
  </si>
  <si>
    <t>OGETTE DEBORAH AFENOSOMI</t>
  </si>
  <si>
    <t>AYIM FAITH</t>
  </si>
  <si>
    <t>DENNIS EMMANUEL OLOCHE</t>
  </si>
  <si>
    <t>ISAH HAFSAT ONAYI</t>
  </si>
  <si>
    <t>FRANCIS BERNICE KULAN</t>
  </si>
  <si>
    <t>UGWU PATIENCE CHINYENYE</t>
  </si>
  <si>
    <t>JULIUS JIREH DUNG</t>
  </si>
  <si>
    <t>IKADE LOVINA EKWOK</t>
  </si>
  <si>
    <t>ISAAC OBEDIENCE SHEKWO'AGU</t>
  </si>
  <si>
    <t>UMAR FARUK ZAINAB</t>
  </si>
  <si>
    <t>JOHN GODRICA ZHINYADA</t>
  </si>
  <si>
    <t>PETER FAITH ADA</t>
  </si>
  <si>
    <t>JACOB JEREMIAH FUNOM</t>
  </si>
  <si>
    <t>ANUFORO DEBORAH OLUCHI</t>
  </si>
  <si>
    <t>OGUNDELE ADEDAMOLA BOLUWATIFE</t>
  </si>
  <si>
    <t>ADETOKUNBO TAIBAT</t>
  </si>
  <si>
    <t>STEPHEN AYUBA MUSA</t>
  </si>
  <si>
    <t>ADEBONA ADEJOKE COMFORT</t>
  </si>
  <si>
    <t>ILIYA VICTORIA NAFISA</t>
  </si>
  <si>
    <t>RICKSON REJOICE USOKO</t>
  </si>
  <si>
    <t>JEREMIAH GRACE MGBEDE</t>
  </si>
  <si>
    <t>ABUBAKAR SHULAMITE OJONIMI</t>
  </si>
  <si>
    <t>ADAMS SURAYYAT DAHIRU</t>
  </si>
  <si>
    <t>ADEBISI OLUWABUKUNMI MARY</t>
  </si>
  <si>
    <t>PAULO PEACENT</t>
  </si>
  <si>
    <t>IBRAHIM SA'ADATU</t>
  </si>
  <si>
    <t>ISTIFANUS SARAH SHANAWAZA</t>
  </si>
  <si>
    <t>AKINYEMI OSIEKAFORE ESTHER</t>
  </si>
  <si>
    <t>SAMUEL DIVINE</t>
  </si>
  <si>
    <t>SYLVESTER FLOURISH</t>
  </si>
  <si>
    <t>OKOLI CHIEMERIE UZOMA</t>
  </si>
  <si>
    <t>IBRAHIM MARYAM YESMIN</t>
  </si>
  <si>
    <t>EMMANUEL DESTINY ONIZE</t>
  </si>
  <si>
    <t>MUHAMMAD FATIMA SANTALI</t>
  </si>
  <si>
    <t>ONYESO DAVID CHUKWUDI</t>
  </si>
  <si>
    <t>YAKUBU PRISCILLA ASHEZIE</t>
  </si>
  <si>
    <t>FIBERESIMA ORAFIRI PETER</t>
  </si>
  <si>
    <t>GNS111</t>
  </si>
  <si>
    <t>NUR111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</si>
</sst>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entaur"/>
      <family val="1"/>
    </font>
    <font>
      <sz val="12"/>
      <color theme="1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Results%20ND%201%20&amp;%202/ND%201_1.%20SUM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SS NOMINAL ROLL"/>
      <sheetName val="Sheet2"/>
      <sheetName val="Sheet1"/>
      <sheetName val="CLASS LIST"/>
      <sheetName val="First Year"/>
      <sheetName val="Second Year"/>
      <sheetName val="Third Year"/>
      <sheetName val="Students' Results Sheet"/>
      <sheetName val="MasterSheet"/>
      <sheetName val="Statistics&amp;Charts"/>
      <sheetName val="CA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AR10" t="str">
            <v>FCTCONS/ND23/015</v>
          </cell>
          <cell r="AS10" t="str">
            <v>AYIM FAITH</v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>
            <v>54</v>
          </cell>
          <cell r="AY10">
            <v>52</v>
          </cell>
          <cell r="AZ10" t="str">
            <v/>
          </cell>
          <cell r="BA10">
            <v>52</v>
          </cell>
        </row>
        <row r="11">
          <cell r="AR11" t="str">
            <v>FCTCONS/ND23/110</v>
          </cell>
          <cell r="AS11" t="str">
            <v>DENNIS EMMANUEL OLOCHE</v>
          </cell>
          <cell r="AT11" t="str">
            <v/>
          </cell>
          <cell r="AU11" t="str">
            <v/>
          </cell>
          <cell r="AV11" t="str">
            <v/>
          </cell>
          <cell r="AW11">
            <v>50</v>
          </cell>
          <cell r="AX11">
            <v>50</v>
          </cell>
          <cell r="AY11">
            <v>51</v>
          </cell>
          <cell r="AZ11" t="str">
            <v/>
          </cell>
          <cell r="BA11">
            <v>52</v>
          </cell>
        </row>
        <row r="12">
          <cell r="AR12" t="str">
            <v>FCTCONS/ND23/074</v>
          </cell>
          <cell r="AS12" t="str">
            <v>ISAH HAFSAT ONAYI</v>
          </cell>
          <cell r="AT12">
            <v>53</v>
          </cell>
          <cell r="AU12" t="str">
            <v/>
          </cell>
          <cell r="AV12">
            <v>51</v>
          </cell>
          <cell r="AW12" t="str">
            <v/>
          </cell>
          <cell r="AX12">
            <v>51</v>
          </cell>
          <cell r="AY12" t="str">
            <v/>
          </cell>
          <cell r="AZ12">
            <v>51</v>
          </cell>
          <cell r="BA12" t="str">
            <v/>
          </cell>
        </row>
        <row r="13">
          <cell r="AR13" t="str">
            <v>FCTCONS/ND23/101</v>
          </cell>
          <cell r="AS13" t="str">
            <v>FRANCIS BERNICE KULAN</v>
          </cell>
          <cell r="AT13">
            <v>51</v>
          </cell>
          <cell r="AU13" t="str">
            <v/>
          </cell>
          <cell r="AV13" t="str">
            <v/>
          </cell>
          <cell r="AW13" t="str">
            <v/>
          </cell>
          <cell r="AX13">
            <v>51</v>
          </cell>
          <cell r="AY13" t="str">
            <v/>
          </cell>
          <cell r="AZ13" t="str">
            <v/>
          </cell>
          <cell r="BA13" t="str">
            <v/>
          </cell>
        </row>
        <row r="14">
          <cell r="AR14" t="str">
            <v>FCTCONS/ND23/016</v>
          </cell>
          <cell r="AS14" t="str">
            <v>UGWU PATIENCE CHINYENYE</v>
          </cell>
          <cell r="AT14">
            <v>54</v>
          </cell>
          <cell r="AU14" t="str">
            <v/>
          </cell>
          <cell r="AV14" t="str">
            <v/>
          </cell>
          <cell r="AW14">
            <v>52</v>
          </cell>
          <cell r="AX14" t="str">
            <v/>
          </cell>
          <cell r="AY14">
            <v>51</v>
          </cell>
          <cell r="AZ14">
            <v>51</v>
          </cell>
          <cell r="BA14" t="str">
            <v/>
          </cell>
        </row>
        <row r="15">
          <cell r="AR15" t="str">
            <v>FCTCONS/ND23/039</v>
          </cell>
          <cell r="AS15" t="str">
            <v>JULIUS JIREH DUNG</v>
          </cell>
          <cell r="AT15" t="str">
            <v/>
          </cell>
          <cell r="AU15">
            <v>52</v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</row>
        <row r="16">
          <cell r="AR16" t="str">
            <v>FCTCONS/ND23/071</v>
          </cell>
          <cell r="AS16" t="str">
            <v>IKADE LOVINA EKWOK</v>
          </cell>
          <cell r="AT16" t="str">
            <v/>
          </cell>
          <cell r="AU16" t="str">
            <v/>
          </cell>
          <cell r="AV16">
            <v>51</v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</row>
        <row r="17">
          <cell r="AR17" t="str">
            <v>FCTCONS/ND23/064</v>
          </cell>
          <cell r="AS17" t="str">
            <v>ISAAC OBEDIENCE SHEKWO'AGU</v>
          </cell>
          <cell r="AT17" t="str">
            <v/>
          </cell>
          <cell r="AU17" t="str">
            <v/>
          </cell>
          <cell r="AV17">
            <v>53</v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</row>
        <row r="18">
          <cell r="AR18" t="str">
            <v>FCTCONS/ND23/124</v>
          </cell>
          <cell r="AS18" t="str">
            <v>UMAR FARUK ZAINAB</v>
          </cell>
          <cell r="AT18" t="str">
            <v/>
          </cell>
          <cell r="AU18" t="str">
            <v/>
          </cell>
          <cell r="AV18">
            <v>52</v>
          </cell>
          <cell r="AW18" t="str">
            <v/>
          </cell>
          <cell r="AX18">
            <v>52</v>
          </cell>
          <cell r="AY18" t="str">
            <v/>
          </cell>
          <cell r="AZ18" t="str">
            <v/>
          </cell>
          <cell r="BA18" t="str">
            <v/>
          </cell>
        </row>
        <row r="19">
          <cell r="AR19" t="str">
            <v>FCTCONS/ND23/051</v>
          </cell>
          <cell r="AS19" t="str">
            <v>JOHN GODRICA ZHINYADA</v>
          </cell>
          <cell r="AT19" t="str">
            <v/>
          </cell>
          <cell r="AU19" t="str">
            <v/>
          </cell>
          <cell r="AV19">
            <v>51</v>
          </cell>
          <cell r="AW19" t="str">
            <v/>
          </cell>
          <cell r="AX19" t="str">
            <v/>
          </cell>
          <cell r="AY19">
            <v>51</v>
          </cell>
          <cell r="AZ19" t="str">
            <v/>
          </cell>
          <cell r="BA19" t="str">
            <v/>
          </cell>
        </row>
        <row r="20">
          <cell r="AR20" t="str">
            <v>FCTCONS/ND23/127</v>
          </cell>
          <cell r="AS20" t="str">
            <v>PETER FAITH ADA</v>
          </cell>
          <cell r="AT20" t="str">
            <v/>
          </cell>
          <cell r="AU20" t="str">
            <v/>
          </cell>
          <cell r="AV20">
            <v>50</v>
          </cell>
          <cell r="AW20" t="str">
            <v/>
          </cell>
          <cell r="AX20">
            <v>52</v>
          </cell>
          <cell r="AY20">
            <v>50</v>
          </cell>
          <cell r="AZ20" t="str">
            <v/>
          </cell>
          <cell r="BA20" t="str">
            <v/>
          </cell>
        </row>
        <row r="21">
          <cell r="AR21" t="str">
            <v>FCTCONS/ND23/025</v>
          </cell>
          <cell r="AS21" t="str">
            <v>JACOB JEREMIAH FUNOM</v>
          </cell>
          <cell r="AT21" t="str">
            <v/>
          </cell>
          <cell r="AU21" t="str">
            <v/>
          </cell>
          <cell r="AV21">
            <v>50</v>
          </cell>
          <cell r="AW21" t="str">
            <v/>
          </cell>
          <cell r="AX21">
            <v>54</v>
          </cell>
          <cell r="AY21">
            <v>50</v>
          </cell>
          <cell r="AZ21" t="str">
            <v/>
          </cell>
          <cell r="BA21" t="str">
            <v/>
          </cell>
        </row>
        <row r="22">
          <cell r="AR22" t="str">
            <v>FCTCONS/ND23/040</v>
          </cell>
          <cell r="AS22" t="str">
            <v>ANUFORO DEBORAH OLUCHI</v>
          </cell>
          <cell r="AT22" t="str">
            <v/>
          </cell>
          <cell r="AU22" t="str">
            <v/>
          </cell>
          <cell r="AV22" t="str">
            <v/>
          </cell>
          <cell r="AW22">
            <v>54</v>
          </cell>
          <cell r="AX22" t="str">
            <v/>
          </cell>
          <cell r="AY22">
            <v>53</v>
          </cell>
          <cell r="AZ22" t="str">
            <v/>
          </cell>
          <cell r="BA22" t="str">
            <v/>
          </cell>
        </row>
        <row r="23">
          <cell r="AR23" t="str">
            <v>FCTCONS/ND23/010</v>
          </cell>
          <cell r="AS23" t="str">
            <v>OGUNDELE ADEDAMOLA BOLUWATIFE</v>
          </cell>
          <cell r="AT23" t="str">
            <v/>
          </cell>
          <cell r="AU23" t="str">
            <v/>
          </cell>
          <cell r="AV23" t="str">
            <v/>
          </cell>
          <cell r="AW23">
            <v>52</v>
          </cell>
          <cell r="AX23" t="str">
            <v/>
          </cell>
          <cell r="AY23" t="str">
            <v/>
          </cell>
          <cell r="AZ23">
            <v>52</v>
          </cell>
          <cell r="BA23" t="str">
            <v/>
          </cell>
        </row>
        <row r="24">
          <cell r="AR24" t="str">
            <v>FCTCONS/ND23/113</v>
          </cell>
          <cell r="AS24" t="str">
            <v>ADETOKUNBO TAIBAT</v>
          </cell>
          <cell r="AT24" t="str">
            <v/>
          </cell>
          <cell r="AU24" t="str">
            <v/>
          </cell>
          <cell r="AV24" t="str">
            <v/>
          </cell>
          <cell r="AW24">
            <v>53</v>
          </cell>
          <cell r="AX24">
            <v>53</v>
          </cell>
          <cell r="AY24">
            <v>51</v>
          </cell>
          <cell r="AZ24" t="str">
            <v/>
          </cell>
          <cell r="BA24" t="str">
            <v/>
          </cell>
        </row>
        <row r="25">
          <cell r="AR25" t="str">
            <v>FCTCONS/ND23/092</v>
          </cell>
          <cell r="AS25" t="str">
            <v>STEPHEN AYUBA MUSA</v>
          </cell>
          <cell r="AT25" t="str">
            <v/>
          </cell>
          <cell r="AU25" t="str">
            <v/>
          </cell>
          <cell r="AV25" t="str">
            <v/>
          </cell>
          <cell r="AW25">
            <v>54</v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</row>
        <row r="26">
          <cell r="AR26" t="str">
            <v>FCTCONS/ND23/073</v>
          </cell>
          <cell r="AS26" t="str">
            <v>ADEBONA ADEJOKE COMFORT</v>
          </cell>
          <cell r="AT26" t="str">
            <v/>
          </cell>
          <cell r="AU26" t="str">
            <v/>
          </cell>
          <cell r="AV26" t="str">
            <v/>
          </cell>
          <cell r="AW26">
            <v>52</v>
          </cell>
          <cell r="AX26">
            <v>53</v>
          </cell>
          <cell r="AY26" t="str">
            <v/>
          </cell>
          <cell r="AZ26">
            <v>50</v>
          </cell>
          <cell r="BA26" t="str">
            <v/>
          </cell>
        </row>
        <row r="27">
          <cell r="AR27" t="str">
            <v>FCTCONS/ND23/067</v>
          </cell>
          <cell r="AS27" t="str">
            <v>ILIYA VICTORIA NAFISA</v>
          </cell>
          <cell r="AT27" t="str">
            <v/>
          </cell>
          <cell r="AU27" t="str">
            <v/>
          </cell>
          <cell r="AV27" t="str">
            <v/>
          </cell>
          <cell r="AW27">
            <v>54</v>
          </cell>
          <cell r="AX27" t="str">
            <v/>
          </cell>
          <cell r="AY27">
            <v>54</v>
          </cell>
          <cell r="AZ27" t="str">
            <v/>
          </cell>
          <cell r="BA27" t="str">
            <v/>
          </cell>
        </row>
        <row r="28">
          <cell r="AR28" t="str">
            <v>FCTCONS/ND23/087</v>
          </cell>
          <cell r="AS28" t="str">
            <v>RICKSON REJOICE USOKO</v>
          </cell>
          <cell r="AT28" t="str">
            <v/>
          </cell>
          <cell r="AU28" t="str">
            <v/>
          </cell>
          <cell r="AV28" t="str">
            <v/>
          </cell>
          <cell r="AW28">
            <v>54</v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</row>
        <row r="29">
          <cell r="AR29" t="str">
            <v>FCTCONS/ND23/027</v>
          </cell>
          <cell r="AS29" t="str">
            <v>JEREMIAH GRACE MGBEDE</v>
          </cell>
          <cell r="AT29" t="str">
            <v/>
          </cell>
          <cell r="AU29" t="str">
            <v/>
          </cell>
          <cell r="AV29" t="str">
            <v/>
          </cell>
          <cell r="AW29">
            <v>54</v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</row>
        <row r="30">
          <cell r="AR30" t="str">
            <v>FCTCONS/ND23/105</v>
          </cell>
          <cell r="AS30" t="str">
            <v>ABUBAKAR SHULAMITE OJONIMI</v>
          </cell>
          <cell r="AT30" t="str">
            <v/>
          </cell>
          <cell r="AU30" t="str">
            <v/>
          </cell>
          <cell r="AV30" t="str">
            <v/>
          </cell>
          <cell r="AW30">
            <v>50</v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</row>
        <row r="31">
          <cell r="AR31" t="str">
            <v>FCTCONS/ND23/083</v>
          </cell>
          <cell r="AS31" t="str">
            <v>ADAMS SURAYYAT DAHIRU</v>
          </cell>
          <cell r="AT31" t="str">
            <v/>
          </cell>
          <cell r="AU31" t="str">
            <v/>
          </cell>
          <cell r="AV31" t="str">
            <v/>
          </cell>
          <cell r="AW31">
            <v>50</v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</row>
        <row r="32">
          <cell r="AR32" t="str">
            <v>FCTCONS/ND23/106</v>
          </cell>
          <cell r="AS32" t="str">
            <v>ADEBISI OLUWABUKUNMI MARY</v>
          </cell>
          <cell r="AT32" t="str">
            <v/>
          </cell>
          <cell r="AU32" t="str">
            <v/>
          </cell>
          <cell r="AV32" t="str">
            <v/>
          </cell>
          <cell r="AW32">
            <v>54</v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</row>
        <row r="33">
          <cell r="AR33" t="str">
            <v>FCTCONS/ND23/076</v>
          </cell>
          <cell r="AS33" t="str">
            <v>PAULO PEACENT</v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>
            <v>53</v>
          </cell>
          <cell r="AY33" t="str">
            <v/>
          </cell>
          <cell r="AZ33" t="str">
            <v/>
          </cell>
          <cell r="BA33" t="str">
            <v/>
          </cell>
        </row>
        <row r="34">
          <cell r="AR34" t="str">
            <v>FCTCONS/ND23/020</v>
          </cell>
          <cell r="AS34" t="str">
            <v>IBRAHIM SA'ADATU</v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>
            <v>52</v>
          </cell>
          <cell r="AY34" t="str">
            <v/>
          </cell>
          <cell r="AZ34" t="str">
            <v/>
          </cell>
          <cell r="BA34" t="str">
            <v/>
          </cell>
        </row>
        <row r="35">
          <cell r="AR35" t="str">
            <v>FCTCONS/ND23/128</v>
          </cell>
          <cell r="AS35" t="str">
            <v>ISTIFANUS SARAH SHANAWAZA</v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>
            <v>50</v>
          </cell>
          <cell r="AY35">
            <v>51</v>
          </cell>
          <cell r="AZ35" t="str">
            <v/>
          </cell>
          <cell r="BA35" t="str">
            <v/>
          </cell>
        </row>
        <row r="36">
          <cell r="AR36" t="str">
            <v>FCTCONS/ND23/003</v>
          </cell>
          <cell r="AS36" t="str">
            <v>AKINYEMI OSIEKAFORE ESTHER</v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>
            <v>54</v>
          </cell>
          <cell r="AY36" t="str">
            <v/>
          </cell>
          <cell r="AZ36" t="str">
            <v/>
          </cell>
          <cell r="BA36" t="str">
            <v/>
          </cell>
        </row>
        <row r="37">
          <cell r="AR37" t="str">
            <v>FCTCONS/ND23/062</v>
          </cell>
          <cell r="AS37" t="str">
            <v>SAMUEL DIVINE</v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>
            <v>54</v>
          </cell>
          <cell r="AY37" t="str">
            <v/>
          </cell>
          <cell r="AZ37">
            <v>54</v>
          </cell>
          <cell r="BA37" t="str">
            <v/>
          </cell>
        </row>
        <row r="38">
          <cell r="AR38" t="str">
            <v>FCTCONS/ND23/117</v>
          </cell>
          <cell r="AS38" t="str">
            <v>SYLVESTER FLOURISH</v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>
            <v>50</v>
          </cell>
          <cell r="AY38">
            <v>52</v>
          </cell>
          <cell r="AZ38" t="str">
            <v/>
          </cell>
          <cell r="BA38" t="str">
            <v/>
          </cell>
        </row>
        <row r="39">
          <cell r="AR39" t="str">
            <v>FCTCONS/ND23/014</v>
          </cell>
          <cell r="AS39" t="str">
            <v>OKOLI CHIEMERIE UZOMA</v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>
            <v>53</v>
          </cell>
          <cell r="AY39" t="str">
            <v/>
          </cell>
          <cell r="AZ39" t="str">
            <v/>
          </cell>
          <cell r="BA39" t="str">
            <v/>
          </cell>
        </row>
        <row r="40">
          <cell r="AR40" t="str">
            <v>FCTCONS/ND23/021</v>
          </cell>
          <cell r="AS40" t="str">
            <v>IBRAHIM MARYAM YESMIN</v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>
            <v>52</v>
          </cell>
          <cell r="AY40" t="str">
            <v/>
          </cell>
          <cell r="AZ40" t="str">
            <v/>
          </cell>
          <cell r="BA40" t="str">
            <v/>
          </cell>
        </row>
        <row r="41">
          <cell r="AR41" t="str">
            <v>FCTCONS/ND23/031</v>
          </cell>
          <cell r="AS41" t="str">
            <v>EMMANUEL DESTINY ONIZE</v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>
            <v>54</v>
          </cell>
          <cell r="AY41">
            <v>50</v>
          </cell>
          <cell r="AZ41" t="str">
            <v/>
          </cell>
          <cell r="BA41" t="str">
            <v/>
          </cell>
        </row>
        <row r="42">
          <cell r="AR42" t="str">
            <v>FCTCONS/ND23/102</v>
          </cell>
          <cell r="AS42" t="str">
            <v>MUHAMMAD FATIMA SANTALI</v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>
            <v>52</v>
          </cell>
          <cell r="AY42">
            <v>54</v>
          </cell>
          <cell r="AZ42" t="str">
            <v/>
          </cell>
          <cell r="BA42" t="str">
            <v/>
          </cell>
        </row>
        <row r="43">
          <cell r="AR43" t="str">
            <v>FCTCONS/ND23/008</v>
          </cell>
          <cell r="AS43" t="str">
            <v>ONYESO DAVID CHUKWUDI</v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>
            <v>54</v>
          </cell>
          <cell r="AY43" t="str">
            <v/>
          </cell>
          <cell r="AZ43" t="str">
            <v/>
          </cell>
          <cell r="BA43" t="str">
            <v/>
          </cell>
        </row>
        <row r="44">
          <cell r="AR44" t="str">
            <v>FCTCONS/ND23/114</v>
          </cell>
          <cell r="AS44" t="str">
            <v>YAKUBU PRISCILLA ASHEZIE</v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>
            <v>52</v>
          </cell>
          <cell r="AZ44" t="str">
            <v/>
          </cell>
          <cell r="BA44" t="str">
            <v/>
          </cell>
        </row>
        <row r="45">
          <cell r="AR45" t="str">
            <v>FCTCONS/ND23/052</v>
          </cell>
          <cell r="AS45" t="str">
            <v>FIBERESIMA ORAFIRI PETER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>
            <v>53</v>
          </cell>
          <cell r="AZ45" t="str">
            <v/>
          </cell>
          <cell r="BA45" t="str">
            <v/>
          </cell>
        </row>
        <row r="46">
          <cell r="AR46" t="str">
            <v>FCTCONS/ND23/115</v>
          </cell>
          <cell r="AS46" t="str">
            <v>OGETTE DEBORAH AFENOSOMI</v>
          </cell>
          <cell r="AT46">
            <v>51</v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>
            <v>50</v>
          </cell>
          <cell r="BA46">
            <v>51</v>
          </cell>
        </row>
        <row r="47">
          <cell r="AS47" t="str">
            <v>Check Reg. No</v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</row>
        <row r="48">
          <cell r="AS48" t="str">
            <v>Check Reg. No</v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</row>
        <row r="49">
          <cell r="AS49" t="str">
            <v>Check Reg. No</v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</row>
        <row r="50">
          <cell r="AS50" t="str">
            <v>Check Reg. No</v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</row>
        <row r="51">
          <cell r="AS51" t="str">
            <v>Check Reg. No</v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</row>
        <row r="52">
          <cell r="AS52" t="str">
            <v>Check Reg. No</v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</row>
        <row r="53">
          <cell r="AS53" t="str">
            <v>Check Reg. No</v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</row>
        <row r="54">
          <cell r="AS54" t="str">
            <v>Check Reg. No</v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</row>
        <row r="55">
          <cell r="AS55" t="str">
            <v>Check Reg. No</v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</row>
        <row r="56">
          <cell r="AS56" t="str">
            <v>Check Reg. No</v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</row>
        <row r="57">
          <cell r="AS57" t="str">
            <v>Check Reg. No</v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  <cell r="AX57" t="str">
            <v/>
          </cell>
          <cell r="AY57" t="str">
            <v/>
          </cell>
          <cell r="AZ57" t="str">
            <v/>
          </cell>
          <cell r="BA57" t="str">
            <v/>
          </cell>
        </row>
        <row r="58">
          <cell r="AS58" t="str">
            <v>Check Reg. No</v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  <cell r="AX58" t="str">
            <v/>
          </cell>
          <cell r="AY58" t="str">
            <v/>
          </cell>
          <cell r="AZ58" t="str">
            <v/>
          </cell>
          <cell r="BA58" t="str">
            <v/>
          </cell>
        </row>
        <row r="59">
          <cell r="AS59" t="str">
            <v>Check Reg. No</v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  <cell r="AX59" t="str">
            <v/>
          </cell>
          <cell r="AY59" t="str">
            <v/>
          </cell>
          <cell r="AZ59" t="str">
            <v/>
          </cell>
          <cell r="BA59" t="str">
            <v/>
          </cell>
        </row>
        <row r="60">
          <cell r="AS60" t="str">
            <v>Check Reg. No</v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  <cell r="AX60" t="str">
            <v/>
          </cell>
          <cell r="AY60" t="str">
            <v/>
          </cell>
          <cell r="AZ60" t="str">
            <v/>
          </cell>
          <cell r="BA60" t="str">
            <v/>
          </cell>
        </row>
        <row r="61">
          <cell r="AS61" t="str">
            <v>Check Reg. No</v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  <cell r="AX61" t="str">
            <v/>
          </cell>
          <cell r="AY61" t="str">
            <v/>
          </cell>
          <cell r="AZ61" t="str">
            <v/>
          </cell>
          <cell r="BA61" t="str">
            <v/>
          </cell>
        </row>
        <row r="62">
          <cell r="AS62" t="str">
            <v>Check Reg. No</v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  <cell r="AX62" t="str">
            <v/>
          </cell>
          <cell r="AY62" t="str">
            <v/>
          </cell>
          <cell r="AZ62" t="str">
            <v/>
          </cell>
          <cell r="BA62" t="str">
            <v/>
          </cell>
        </row>
        <row r="63">
          <cell r="AS63" t="str">
            <v>Check Reg. No</v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  <cell r="AX63" t="str">
            <v/>
          </cell>
          <cell r="AY63" t="str">
            <v/>
          </cell>
          <cell r="AZ63" t="str">
            <v/>
          </cell>
          <cell r="BA63" t="str">
            <v/>
          </cell>
        </row>
        <row r="64">
          <cell r="AS64" t="str">
            <v>Check Reg. No</v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  <cell r="AX64" t="str">
            <v/>
          </cell>
          <cell r="AY64" t="str">
            <v/>
          </cell>
          <cell r="AZ64" t="str">
            <v/>
          </cell>
          <cell r="BA64" t="str">
            <v/>
          </cell>
        </row>
        <row r="65">
          <cell r="AS65" t="str">
            <v>Check Reg. No</v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  <cell r="AX65" t="str">
            <v/>
          </cell>
          <cell r="AY65" t="str">
            <v/>
          </cell>
          <cell r="AZ65" t="str">
            <v/>
          </cell>
          <cell r="BA65" t="str">
            <v/>
          </cell>
        </row>
        <row r="66">
          <cell r="AS66" t="str">
            <v>Check Reg. No</v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  <cell r="AX66" t="str">
            <v/>
          </cell>
          <cell r="AY66" t="str">
            <v/>
          </cell>
          <cell r="AZ66" t="str">
            <v/>
          </cell>
          <cell r="BA66" t="str">
            <v/>
          </cell>
        </row>
        <row r="67">
          <cell r="AS67" t="str">
            <v>Check Reg. No</v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  <cell r="AX67" t="str">
            <v/>
          </cell>
          <cell r="AY67" t="str">
            <v/>
          </cell>
          <cell r="AZ67" t="str">
            <v/>
          </cell>
          <cell r="BA67" t="str">
            <v/>
          </cell>
        </row>
        <row r="68">
          <cell r="AS68" t="str">
            <v>Check Reg. No</v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  <cell r="AX68" t="str">
            <v/>
          </cell>
          <cell r="AY68" t="str">
            <v/>
          </cell>
          <cell r="AZ68" t="str">
            <v/>
          </cell>
          <cell r="BA68" t="str">
            <v/>
          </cell>
        </row>
        <row r="69">
          <cell r="AS69" t="str">
            <v>Check Reg. No</v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  <cell r="AX69" t="str">
            <v/>
          </cell>
          <cell r="AY69" t="str">
            <v/>
          </cell>
          <cell r="AZ69" t="str">
            <v/>
          </cell>
          <cell r="BA69" t="str">
            <v/>
          </cell>
        </row>
        <row r="70">
          <cell r="AS70" t="str">
            <v>Check Reg. No</v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  <cell r="AX70" t="str">
            <v/>
          </cell>
          <cell r="AY70" t="str">
            <v/>
          </cell>
          <cell r="AZ70" t="str">
            <v/>
          </cell>
          <cell r="BA70" t="str">
            <v/>
          </cell>
        </row>
        <row r="71">
          <cell r="AS71" t="str">
            <v>Check Reg. No</v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  <cell r="AX71" t="str">
            <v/>
          </cell>
          <cell r="AY71" t="str">
            <v/>
          </cell>
          <cell r="AZ71" t="str">
            <v/>
          </cell>
          <cell r="BA71" t="str">
            <v/>
          </cell>
        </row>
        <row r="72">
          <cell r="AS72" t="str">
            <v>Check Reg. No</v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  <cell r="AX72" t="str">
            <v/>
          </cell>
          <cell r="AY72" t="str">
            <v/>
          </cell>
          <cell r="AZ72" t="str">
            <v/>
          </cell>
          <cell r="BA72" t="str">
            <v/>
          </cell>
        </row>
        <row r="73">
          <cell r="AS73" t="str">
            <v>Check Reg. No</v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  <cell r="AX73" t="str">
            <v/>
          </cell>
          <cell r="AY73" t="str">
            <v/>
          </cell>
          <cell r="AZ73" t="str">
            <v/>
          </cell>
          <cell r="BA73" t="str">
            <v/>
          </cell>
        </row>
        <row r="74">
          <cell r="AS74" t="str">
            <v>Check Reg. No</v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  <cell r="AX74" t="str">
            <v/>
          </cell>
          <cell r="AY74" t="str">
            <v/>
          </cell>
          <cell r="AZ74" t="str">
            <v/>
          </cell>
          <cell r="BA74" t="str">
            <v/>
          </cell>
        </row>
        <row r="75">
          <cell r="AS75" t="str">
            <v>Check Reg. No</v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/>
          </cell>
          <cell r="AY75" t="str">
            <v/>
          </cell>
          <cell r="AZ75" t="str">
            <v/>
          </cell>
          <cell r="BA75" t="str">
            <v/>
          </cell>
        </row>
        <row r="76">
          <cell r="AS76" t="str">
            <v>Check Reg. No</v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/>
          </cell>
          <cell r="AY76" t="str">
            <v/>
          </cell>
          <cell r="AZ76" t="str">
            <v/>
          </cell>
          <cell r="BA76" t="str">
            <v/>
          </cell>
        </row>
        <row r="77">
          <cell r="AS77" t="str">
            <v>Check Reg. No</v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AY77" t="str">
            <v/>
          </cell>
          <cell r="AZ77" t="str">
            <v/>
          </cell>
          <cell r="BA77" t="str">
            <v/>
          </cell>
        </row>
        <row r="78">
          <cell r="AS78" t="str">
            <v>Check Reg. No</v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/>
          </cell>
          <cell r="AY78" t="str">
            <v/>
          </cell>
          <cell r="AZ78" t="str">
            <v/>
          </cell>
          <cell r="BA78" t="str">
            <v/>
          </cell>
        </row>
        <row r="79">
          <cell r="AS79" t="str">
            <v>Check Reg. No</v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</row>
        <row r="80">
          <cell r="AS80" t="str">
            <v>Check Reg. No</v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</row>
        <row r="81">
          <cell r="AS81" t="str">
            <v>Check Reg. No</v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/>
          </cell>
          <cell r="AY81" t="str">
            <v/>
          </cell>
          <cell r="AZ81" t="str">
            <v/>
          </cell>
          <cell r="BA81" t="str">
            <v/>
          </cell>
        </row>
        <row r="82">
          <cell r="AS82" t="str">
            <v>Check Reg. No</v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/>
          </cell>
          <cell r="AY82" t="str">
            <v/>
          </cell>
          <cell r="AZ82" t="str">
            <v/>
          </cell>
          <cell r="BA82" t="str">
            <v/>
          </cell>
        </row>
        <row r="83">
          <cell r="AS83" t="str">
            <v>Check Reg. No</v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/>
          </cell>
          <cell r="AY83" t="str">
            <v/>
          </cell>
          <cell r="AZ83" t="str">
            <v/>
          </cell>
          <cell r="BA83" t="str">
            <v/>
          </cell>
        </row>
        <row r="84">
          <cell r="AS84" t="str">
            <v>Check Reg. No</v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/>
          </cell>
          <cell r="AY84" t="str">
            <v/>
          </cell>
          <cell r="AZ84" t="str">
            <v/>
          </cell>
          <cell r="BA84" t="str">
            <v/>
          </cell>
        </row>
        <row r="85">
          <cell r="AS85" t="str">
            <v>Check Reg. No</v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/>
          </cell>
          <cell r="AY85" t="str">
            <v/>
          </cell>
          <cell r="AZ85" t="str">
            <v/>
          </cell>
          <cell r="BA85" t="str">
            <v/>
          </cell>
        </row>
        <row r="86">
          <cell r="AS86" t="str">
            <v>Check Reg. No</v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  <cell r="AX86" t="str">
            <v/>
          </cell>
          <cell r="AY86" t="str">
            <v/>
          </cell>
          <cell r="AZ86" t="str">
            <v/>
          </cell>
          <cell r="BA86" t="str">
            <v/>
          </cell>
        </row>
        <row r="87">
          <cell r="AS87" t="str">
            <v>Check Reg. No</v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/>
          </cell>
          <cell r="AY87" t="str">
            <v/>
          </cell>
          <cell r="AZ87" t="str">
            <v/>
          </cell>
          <cell r="BA87" t="str">
            <v/>
          </cell>
        </row>
        <row r="88">
          <cell r="AS88" t="str">
            <v>Check Reg. No</v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  <cell r="AX88" t="str">
            <v/>
          </cell>
          <cell r="AY88" t="str">
            <v/>
          </cell>
          <cell r="AZ88" t="str">
            <v/>
          </cell>
          <cell r="BA88" t="str">
            <v/>
          </cell>
        </row>
        <row r="89">
          <cell r="AS89" t="str">
            <v>Check Reg. No</v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  <cell r="AX89" t="str">
            <v/>
          </cell>
          <cell r="AY89" t="str">
            <v/>
          </cell>
          <cell r="AZ89" t="str">
            <v/>
          </cell>
          <cell r="BA89" t="str">
            <v/>
          </cell>
        </row>
        <row r="90">
          <cell r="AS90" t="str">
            <v>Check Reg. No</v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  <cell r="AX90" t="str">
            <v/>
          </cell>
          <cell r="AY90" t="str">
            <v/>
          </cell>
          <cell r="AZ90" t="str">
            <v/>
          </cell>
          <cell r="BA90" t="str">
            <v/>
          </cell>
        </row>
        <row r="91">
          <cell r="AS91" t="str">
            <v>Check Reg. No</v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  <cell r="AX91" t="str">
            <v/>
          </cell>
          <cell r="AY91" t="str">
            <v/>
          </cell>
          <cell r="AZ91" t="str">
            <v/>
          </cell>
          <cell r="BA91" t="str">
            <v/>
          </cell>
        </row>
        <row r="92">
          <cell r="AS92" t="str">
            <v>Check Reg. No</v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</row>
        <row r="93">
          <cell r="AS93" t="str">
            <v>Check Reg. No</v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  <cell r="AX93" t="str">
            <v/>
          </cell>
          <cell r="AY93" t="str">
            <v/>
          </cell>
          <cell r="AZ93" t="str">
            <v/>
          </cell>
          <cell r="BA93" t="str">
            <v/>
          </cell>
        </row>
        <row r="94">
          <cell r="AS94" t="str">
            <v>Check Reg. No</v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  <cell r="AX94" t="str">
            <v/>
          </cell>
          <cell r="AY94" t="str">
            <v/>
          </cell>
          <cell r="AZ94" t="str">
            <v/>
          </cell>
          <cell r="BA94" t="str">
            <v/>
          </cell>
        </row>
        <row r="95">
          <cell r="AS95" t="str">
            <v>Check Reg. No</v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  <cell r="AX95" t="str">
            <v/>
          </cell>
          <cell r="AY95" t="str">
            <v/>
          </cell>
          <cell r="AZ95" t="str">
            <v/>
          </cell>
          <cell r="BA95" t="str">
            <v/>
          </cell>
        </row>
        <row r="96">
          <cell r="AS96" t="str">
            <v>Check Reg. No</v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  <cell r="AX96" t="str">
            <v/>
          </cell>
          <cell r="AY96" t="str">
            <v/>
          </cell>
          <cell r="AZ96" t="str">
            <v/>
          </cell>
          <cell r="BA96" t="str">
            <v/>
          </cell>
        </row>
        <row r="97">
          <cell r="AS97" t="str">
            <v>Check Reg. No</v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  <cell r="AX97" t="str">
            <v/>
          </cell>
          <cell r="AY97" t="str">
            <v/>
          </cell>
          <cell r="AZ97" t="str">
            <v/>
          </cell>
          <cell r="BA97" t="str">
            <v/>
          </cell>
        </row>
        <row r="98">
          <cell r="AS98" t="str">
            <v>Check Reg. No</v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</row>
        <row r="99">
          <cell r="AS99" t="str">
            <v>Check Reg. No</v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/>
          </cell>
          <cell r="AY99" t="str">
            <v/>
          </cell>
          <cell r="AZ99" t="str">
            <v/>
          </cell>
          <cell r="BA99" t="str">
            <v/>
          </cell>
        </row>
        <row r="100">
          <cell r="AS100" t="str">
            <v>Check Reg. No</v>
          </cell>
          <cell r="AT100" t="str">
            <v/>
          </cell>
          <cell r="AU100" t="str">
            <v/>
          </cell>
          <cell r="AV100" t="str">
            <v/>
          </cell>
          <cell r="AW100" t="str">
            <v/>
          </cell>
          <cell r="AX100" t="str">
            <v/>
          </cell>
          <cell r="AY100" t="str">
            <v/>
          </cell>
          <cell r="AZ100" t="str">
            <v/>
          </cell>
          <cell r="BA100" t="str">
            <v/>
          </cell>
        </row>
        <row r="101">
          <cell r="AS101" t="str">
            <v>Check Reg. No</v>
          </cell>
          <cell r="AT101" t="str">
            <v/>
          </cell>
          <cell r="AU101" t="str">
            <v/>
          </cell>
          <cell r="AV101" t="str">
            <v/>
          </cell>
          <cell r="AW101" t="str">
            <v/>
          </cell>
          <cell r="AX101" t="str">
            <v/>
          </cell>
          <cell r="AY101" t="str">
            <v/>
          </cell>
          <cell r="AZ101" t="str">
            <v/>
          </cell>
          <cell r="BA101" t="str">
            <v/>
          </cell>
        </row>
        <row r="102">
          <cell r="AS102" t="str">
            <v>Check Reg. No</v>
          </cell>
          <cell r="AT102" t="str">
            <v/>
          </cell>
          <cell r="AU102" t="str">
            <v/>
          </cell>
          <cell r="AV102" t="str">
            <v/>
          </cell>
          <cell r="AW102" t="str">
            <v/>
          </cell>
          <cell r="AX102" t="str">
            <v/>
          </cell>
          <cell r="AY102" t="str">
            <v/>
          </cell>
          <cell r="AZ102" t="str">
            <v/>
          </cell>
          <cell r="BA102" t="str">
            <v/>
          </cell>
        </row>
        <row r="103">
          <cell r="AS103" t="str">
            <v>Check Reg. No</v>
          </cell>
          <cell r="AT103" t="str">
            <v/>
          </cell>
          <cell r="AU103" t="str">
            <v/>
          </cell>
          <cell r="AV103" t="str">
            <v/>
          </cell>
          <cell r="AW103" t="str">
            <v/>
          </cell>
          <cell r="AX103" t="str">
            <v/>
          </cell>
          <cell r="AY103" t="str">
            <v/>
          </cell>
          <cell r="AZ103" t="str">
            <v/>
          </cell>
          <cell r="BA103" t="str">
            <v/>
          </cell>
        </row>
        <row r="104">
          <cell r="AS104" t="str">
            <v>Check Reg. No</v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/>
          </cell>
          <cell r="AY104" t="str">
            <v/>
          </cell>
          <cell r="AZ104" t="str">
            <v/>
          </cell>
          <cell r="BA104" t="str">
            <v/>
          </cell>
        </row>
        <row r="105">
          <cell r="AS105" t="str">
            <v>Check Reg. No</v>
          </cell>
          <cell r="AT105" t="str">
            <v/>
          </cell>
          <cell r="AU105" t="str">
            <v/>
          </cell>
          <cell r="AV105" t="str">
            <v/>
          </cell>
          <cell r="AW105" t="str">
            <v/>
          </cell>
          <cell r="AX105" t="str">
            <v/>
          </cell>
          <cell r="AY105" t="str">
            <v/>
          </cell>
          <cell r="AZ105" t="str">
            <v/>
          </cell>
          <cell r="BA105" t="str">
            <v/>
          </cell>
        </row>
        <row r="106">
          <cell r="AS106" t="str">
            <v>Check Reg. No</v>
          </cell>
          <cell r="AT106" t="str">
            <v/>
          </cell>
          <cell r="AU106" t="str">
            <v/>
          </cell>
          <cell r="AV106" t="str">
            <v/>
          </cell>
          <cell r="AW106" t="str">
            <v/>
          </cell>
          <cell r="AX106" t="str">
            <v/>
          </cell>
          <cell r="AY106" t="str">
            <v/>
          </cell>
          <cell r="AZ106" t="str">
            <v/>
          </cell>
          <cell r="BA106" t="str">
            <v/>
          </cell>
        </row>
        <row r="107">
          <cell r="AS107" t="str">
            <v>Check Reg. No</v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</row>
        <row r="108">
          <cell r="AS108" t="str">
            <v>Check Reg. No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</row>
        <row r="109">
          <cell r="AS109" t="str">
            <v>Check Reg. No</v>
          </cell>
          <cell r="AT109" t="str">
            <v/>
          </cell>
          <cell r="AU109" t="str">
            <v/>
          </cell>
          <cell r="AV109" t="str">
            <v/>
          </cell>
          <cell r="AW109" t="str">
            <v/>
          </cell>
          <cell r="AX109" t="str">
            <v/>
          </cell>
          <cell r="AY109" t="str">
            <v/>
          </cell>
          <cell r="AZ109" t="str">
            <v/>
          </cell>
          <cell r="BA109" t="str">
            <v/>
          </cell>
        </row>
        <row r="110">
          <cell r="AS110" t="str">
            <v>Check Reg. No</v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 t="str">
            <v/>
          </cell>
          <cell r="AZ110" t="str">
            <v/>
          </cell>
          <cell r="BA110" t="str">
            <v/>
          </cell>
        </row>
        <row r="111">
          <cell r="AS111" t="str">
            <v>Check Reg. No</v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 t="str">
            <v/>
          </cell>
          <cell r="AZ111" t="str">
            <v/>
          </cell>
          <cell r="BA111" t="str">
            <v/>
          </cell>
        </row>
        <row r="112">
          <cell r="AS112" t="str">
            <v>Check Reg. No</v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</row>
        <row r="113">
          <cell r="AS113" t="str">
            <v>Check Reg. No</v>
          </cell>
          <cell r="AT113" t="str">
            <v/>
          </cell>
          <cell r="AU113" t="str">
            <v/>
          </cell>
          <cell r="AV113" t="str">
            <v/>
          </cell>
          <cell r="AW113" t="str">
            <v/>
          </cell>
          <cell r="AX113" t="str">
            <v/>
          </cell>
          <cell r="AY113" t="str">
            <v/>
          </cell>
          <cell r="AZ113" t="str">
            <v/>
          </cell>
          <cell r="BA113" t="str">
            <v/>
          </cell>
        </row>
        <row r="114">
          <cell r="AS114" t="str">
            <v>Check Reg. No</v>
          </cell>
          <cell r="AT114" t="str">
            <v/>
          </cell>
          <cell r="AU114" t="str">
            <v/>
          </cell>
          <cell r="AV114" t="str">
            <v/>
          </cell>
          <cell r="AW114" t="str">
            <v/>
          </cell>
          <cell r="AX114" t="str">
            <v/>
          </cell>
          <cell r="AY114" t="str">
            <v/>
          </cell>
          <cell r="AZ114" t="str">
            <v/>
          </cell>
          <cell r="BA114" t="str">
            <v/>
          </cell>
        </row>
        <row r="115">
          <cell r="AS115" t="str">
            <v>Check Reg. No</v>
          </cell>
          <cell r="AT115" t="str">
            <v/>
          </cell>
          <cell r="AU115" t="str">
            <v/>
          </cell>
          <cell r="AV115" t="str">
            <v/>
          </cell>
          <cell r="AW115" t="str">
            <v/>
          </cell>
          <cell r="AX115" t="str">
            <v/>
          </cell>
          <cell r="AY115" t="str">
            <v/>
          </cell>
          <cell r="AZ115" t="str">
            <v/>
          </cell>
          <cell r="BA115" t="str">
            <v/>
          </cell>
        </row>
        <row r="116">
          <cell r="AS116" t="str">
            <v>Check Reg. No</v>
          </cell>
          <cell r="AT116" t="str">
            <v/>
          </cell>
          <cell r="AU116" t="str">
            <v/>
          </cell>
          <cell r="AV116" t="str">
            <v/>
          </cell>
          <cell r="AW116" t="str">
            <v/>
          </cell>
          <cell r="AX116" t="str">
            <v/>
          </cell>
          <cell r="AY116" t="str">
            <v/>
          </cell>
          <cell r="AZ116" t="str">
            <v/>
          </cell>
          <cell r="BA116" t="str">
            <v/>
          </cell>
        </row>
        <row r="117">
          <cell r="AS117" t="str">
            <v>Check Reg. No</v>
          </cell>
          <cell r="AT117" t="str">
            <v/>
          </cell>
          <cell r="AU117" t="str">
            <v/>
          </cell>
          <cell r="AV117" t="str">
            <v/>
          </cell>
          <cell r="AW117" t="str">
            <v/>
          </cell>
          <cell r="AX117" t="str">
            <v/>
          </cell>
          <cell r="AY117" t="str">
            <v/>
          </cell>
          <cell r="AZ117" t="str">
            <v/>
          </cell>
          <cell r="BA117" t="str">
            <v/>
          </cell>
        </row>
        <row r="118">
          <cell r="AS118" t="str">
            <v>Check Reg. No</v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 t="str">
            <v/>
          </cell>
          <cell r="AZ118" t="str">
            <v/>
          </cell>
          <cell r="BA118" t="str">
            <v/>
          </cell>
        </row>
        <row r="119">
          <cell r="AS119" t="str">
            <v>Check Reg. No</v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</row>
        <row r="120">
          <cell r="AS120" t="str">
            <v>Check Reg. No</v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</row>
        <row r="121">
          <cell r="AS121" t="str">
            <v>Check Reg. No</v>
          </cell>
          <cell r="AT121" t="str">
            <v/>
          </cell>
          <cell r="AU121" t="str">
            <v/>
          </cell>
          <cell r="AV121" t="str">
            <v/>
          </cell>
          <cell r="AW121" t="str">
            <v/>
          </cell>
          <cell r="AX121" t="str">
            <v/>
          </cell>
          <cell r="AY121" t="str">
            <v/>
          </cell>
          <cell r="AZ121" t="str">
            <v/>
          </cell>
          <cell r="BA121" t="str">
            <v/>
          </cell>
        </row>
        <row r="122">
          <cell r="AS122" t="str">
            <v>Check Reg. No</v>
          </cell>
          <cell r="AT122" t="str">
            <v/>
          </cell>
          <cell r="AU122" t="str">
            <v/>
          </cell>
          <cell r="AV122" t="str">
            <v/>
          </cell>
          <cell r="AW122" t="str">
            <v/>
          </cell>
          <cell r="AX122" t="str">
            <v/>
          </cell>
          <cell r="AY122" t="str">
            <v/>
          </cell>
          <cell r="AZ122" t="str">
            <v/>
          </cell>
          <cell r="BA122" t="str">
            <v/>
          </cell>
        </row>
        <row r="123">
          <cell r="AS123" t="str">
            <v>Check Reg. No</v>
          </cell>
          <cell r="AT123" t="str">
            <v/>
          </cell>
          <cell r="AU123" t="str">
            <v/>
          </cell>
          <cell r="AV123" t="str">
            <v/>
          </cell>
          <cell r="AW123" t="str">
            <v/>
          </cell>
          <cell r="AX123" t="str">
            <v/>
          </cell>
          <cell r="AY123" t="str">
            <v/>
          </cell>
          <cell r="AZ123" t="str">
            <v/>
          </cell>
          <cell r="BA123" t="str">
            <v/>
          </cell>
        </row>
        <row r="124">
          <cell r="AS124" t="str">
            <v>Check Reg. No</v>
          </cell>
          <cell r="AT124" t="str">
            <v/>
          </cell>
          <cell r="AU124" t="str">
            <v/>
          </cell>
          <cell r="AV124" t="str">
            <v/>
          </cell>
          <cell r="AW124" t="str">
            <v/>
          </cell>
          <cell r="AX124" t="str">
            <v/>
          </cell>
          <cell r="AY124" t="str">
            <v/>
          </cell>
          <cell r="AZ124" t="str">
            <v/>
          </cell>
          <cell r="BA124" t="str">
            <v/>
          </cell>
        </row>
        <row r="125">
          <cell r="AS125" t="str">
            <v>Check Reg. No</v>
          </cell>
          <cell r="AT125" t="str">
            <v/>
          </cell>
          <cell r="AU125" t="str">
            <v/>
          </cell>
          <cell r="AV125" t="str">
            <v/>
          </cell>
          <cell r="AW125" t="str">
            <v/>
          </cell>
          <cell r="AX125" t="str">
            <v/>
          </cell>
          <cell r="AY125" t="str">
            <v/>
          </cell>
          <cell r="AZ125" t="str">
            <v/>
          </cell>
          <cell r="BA125" t="str">
            <v/>
          </cell>
        </row>
        <row r="126">
          <cell r="AS126" t="str">
            <v>Check Reg. No</v>
          </cell>
          <cell r="AT126" t="str">
            <v/>
          </cell>
          <cell r="AU126" t="str">
            <v/>
          </cell>
          <cell r="AV126" t="str">
            <v/>
          </cell>
          <cell r="AW126" t="str">
            <v/>
          </cell>
          <cell r="AX126" t="str">
            <v/>
          </cell>
          <cell r="AY126" t="str">
            <v/>
          </cell>
          <cell r="AZ126" t="str">
            <v/>
          </cell>
          <cell r="BA126" t="str">
            <v/>
          </cell>
        </row>
        <row r="127">
          <cell r="AS127" t="str">
            <v>Check Reg. No</v>
          </cell>
          <cell r="AT127" t="str">
            <v/>
          </cell>
          <cell r="AU127" t="str">
            <v/>
          </cell>
          <cell r="AV127" t="str">
            <v/>
          </cell>
          <cell r="AW127" t="str">
            <v/>
          </cell>
          <cell r="AX127" t="str">
            <v/>
          </cell>
          <cell r="AY127" t="str">
            <v/>
          </cell>
          <cell r="AZ127" t="str">
            <v/>
          </cell>
          <cell r="BA127" t="str">
            <v/>
          </cell>
        </row>
        <row r="128">
          <cell r="AS128" t="str">
            <v>Check Reg. No</v>
          </cell>
          <cell r="AT128" t="str">
            <v/>
          </cell>
          <cell r="AU128" t="str">
            <v/>
          </cell>
          <cell r="AV128" t="str">
            <v/>
          </cell>
          <cell r="AW128" t="str">
            <v/>
          </cell>
          <cell r="AX128" t="str">
            <v/>
          </cell>
          <cell r="AY128" t="str">
            <v/>
          </cell>
          <cell r="AZ128" t="str">
            <v/>
          </cell>
          <cell r="BA128" t="str">
            <v/>
          </cell>
        </row>
        <row r="129">
          <cell r="AS129" t="str">
            <v>Check Reg. No</v>
          </cell>
          <cell r="AT129" t="str">
            <v/>
          </cell>
          <cell r="AU129" t="str">
            <v/>
          </cell>
          <cell r="AV129" t="str">
            <v/>
          </cell>
          <cell r="AW129" t="str">
            <v/>
          </cell>
          <cell r="AX129" t="str">
            <v/>
          </cell>
          <cell r="AY129" t="str">
            <v/>
          </cell>
          <cell r="AZ129" t="str">
            <v/>
          </cell>
          <cell r="BA129" t="str">
            <v/>
          </cell>
        </row>
        <row r="130">
          <cell r="AS130" t="str">
            <v>Check Reg. No</v>
          </cell>
          <cell r="AT130" t="str">
            <v/>
          </cell>
          <cell r="AU130" t="str">
            <v/>
          </cell>
          <cell r="AV130" t="str">
            <v/>
          </cell>
          <cell r="AW130" t="str">
            <v/>
          </cell>
          <cell r="AX130" t="str">
            <v/>
          </cell>
          <cell r="AY130" t="str">
            <v/>
          </cell>
          <cell r="AZ130" t="str">
            <v/>
          </cell>
          <cell r="BA130" t="str">
            <v/>
          </cell>
        </row>
        <row r="131">
          <cell r="AS131" t="str">
            <v>Check Reg. No</v>
          </cell>
          <cell r="AT131" t="str">
            <v/>
          </cell>
          <cell r="AU131" t="str">
            <v/>
          </cell>
          <cell r="AV131" t="str">
            <v/>
          </cell>
          <cell r="AW131" t="str">
            <v/>
          </cell>
          <cell r="AX131" t="str">
            <v/>
          </cell>
          <cell r="AY131" t="str">
            <v/>
          </cell>
          <cell r="AZ131" t="str">
            <v/>
          </cell>
          <cell r="BA131" t="str">
            <v/>
          </cell>
        </row>
        <row r="132">
          <cell r="AS132" t="str">
            <v>Check Reg. No</v>
          </cell>
          <cell r="AT132" t="str">
            <v/>
          </cell>
          <cell r="AU132" t="str">
            <v/>
          </cell>
          <cell r="AV132" t="str">
            <v/>
          </cell>
          <cell r="AW132" t="str">
            <v/>
          </cell>
          <cell r="AX132" t="str">
            <v/>
          </cell>
          <cell r="AY132" t="str">
            <v/>
          </cell>
          <cell r="AZ132" t="str">
            <v/>
          </cell>
          <cell r="BA132" t="str">
            <v/>
          </cell>
        </row>
        <row r="133">
          <cell r="AS133" t="str">
            <v>Check Reg. No</v>
          </cell>
          <cell r="AT133" t="str">
            <v/>
          </cell>
          <cell r="AU133" t="str">
            <v/>
          </cell>
          <cell r="AV133" t="str">
            <v/>
          </cell>
          <cell r="AW133" t="str">
            <v/>
          </cell>
          <cell r="AX133" t="str">
            <v/>
          </cell>
          <cell r="AY133" t="str">
            <v/>
          </cell>
          <cell r="AZ133" t="str">
            <v/>
          </cell>
          <cell r="BA133" t="str">
            <v/>
          </cell>
        </row>
        <row r="134">
          <cell r="AS134" t="str">
            <v>Check Reg. No</v>
          </cell>
          <cell r="AT134" t="str">
            <v/>
          </cell>
          <cell r="AU134" t="str">
            <v/>
          </cell>
          <cell r="AV134" t="str">
            <v/>
          </cell>
          <cell r="AW134" t="str">
            <v/>
          </cell>
          <cell r="AX134" t="str">
            <v/>
          </cell>
          <cell r="AY134" t="str">
            <v/>
          </cell>
          <cell r="AZ134" t="str">
            <v/>
          </cell>
          <cell r="BA134" t="str">
            <v/>
          </cell>
        </row>
        <row r="135">
          <cell r="AS135" t="str">
            <v>Check Reg. No</v>
          </cell>
          <cell r="AT135" t="str">
            <v/>
          </cell>
          <cell r="AU135" t="str">
            <v/>
          </cell>
          <cell r="AV135" t="str">
            <v/>
          </cell>
          <cell r="AW135" t="str">
            <v/>
          </cell>
          <cell r="AX135" t="str">
            <v/>
          </cell>
          <cell r="AY135" t="str">
            <v/>
          </cell>
          <cell r="AZ135" t="str">
            <v/>
          </cell>
          <cell r="BA135" t="str">
            <v/>
          </cell>
        </row>
        <row r="136">
          <cell r="AS136" t="str">
            <v>Check Reg. No</v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</row>
        <row r="137">
          <cell r="AS137" t="str">
            <v>Check Reg. No</v>
          </cell>
          <cell r="AT137" t="str">
            <v/>
          </cell>
          <cell r="AU137" t="str">
            <v/>
          </cell>
          <cell r="AV137" t="str">
            <v/>
          </cell>
          <cell r="AW137" t="str">
            <v/>
          </cell>
          <cell r="AX137" t="str">
            <v/>
          </cell>
          <cell r="AY137" t="str">
            <v/>
          </cell>
          <cell r="AZ137" t="str">
            <v/>
          </cell>
          <cell r="BA137" t="str">
            <v/>
          </cell>
        </row>
        <row r="138">
          <cell r="AS138" t="str">
            <v>Check Reg. No</v>
          </cell>
          <cell r="AT138" t="str">
            <v/>
          </cell>
          <cell r="AU138" t="str">
            <v/>
          </cell>
          <cell r="AV138" t="str">
            <v/>
          </cell>
          <cell r="AW138" t="str">
            <v/>
          </cell>
          <cell r="AX138" t="str">
            <v/>
          </cell>
          <cell r="AY138" t="str">
            <v/>
          </cell>
          <cell r="AZ138" t="str">
            <v/>
          </cell>
          <cell r="BA138" t="str">
            <v/>
          </cell>
        </row>
        <row r="139">
          <cell r="AS139" t="str">
            <v>Check Reg. No</v>
          </cell>
          <cell r="AT139" t="str">
            <v/>
          </cell>
          <cell r="AU139" t="str">
            <v/>
          </cell>
          <cell r="AV139" t="str">
            <v/>
          </cell>
          <cell r="AW139" t="str">
            <v/>
          </cell>
          <cell r="AX139" t="str">
            <v/>
          </cell>
          <cell r="AY139" t="str">
            <v/>
          </cell>
          <cell r="AZ139" t="str">
            <v/>
          </cell>
          <cell r="BA139" t="str">
            <v/>
          </cell>
        </row>
        <row r="140">
          <cell r="AS140" t="str">
            <v>Check Reg. No</v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</row>
        <row r="141">
          <cell r="AS141" t="str">
            <v>Check Reg. No</v>
          </cell>
          <cell r="AT141" t="str">
            <v/>
          </cell>
          <cell r="AU141" t="str">
            <v/>
          </cell>
          <cell r="AV141" t="str">
            <v/>
          </cell>
          <cell r="AW141" t="str">
            <v/>
          </cell>
          <cell r="AX141" t="str">
            <v/>
          </cell>
          <cell r="AY141" t="str">
            <v/>
          </cell>
          <cell r="AZ141" t="str">
            <v/>
          </cell>
          <cell r="BA141" t="str">
            <v/>
          </cell>
        </row>
        <row r="142">
          <cell r="AS142" t="str">
            <v>Check Reg. No</v>
          </cell>
          <cell r="AT142" t="str">
            <v/>
          </cell>
          <cell r="AU142" t="str">
            <v/>
          </cell>
          <cell r="AV142" t="str">
            <v/>
          </cell>
          <cell r="AW142" t="str">
            <v/>
          </cell>
          <cell r="AX142" t="str">
            <v/>
          </cell>
          <cell r="AY142" t="str">
            <v/>
          </cell>
          <cell r="AZ142" t="str">
            <v/>
          </cell>
          <cell r="BA142" t="str">
            <v/>
          </cell>
        </row>
        <row r="143">
          <cell r="AS143" t="str">
            <v>Check Reg. No</v>
          </cell>
          <cell r="AT143" t="str">
            <v/>
          </cell>
          <cell r="AU143" t="str">
            <v/>
          </cell>
          <cell r="AV143" t="str">
            <v/>
          </cell>
          <cell r="AW143" t="str">
            <v/>
          </cell>
          <cell r="AX143" t="str">
            <v/>
          </cell>
          <cell r="AY143" t="str">
            <v/>
          </cell>
          <cell r="AZ143" t="str">
            <v/>
          </cell>
          <cell r="BA143" t="str">
            <v/>
          </cell>
        </row>
        <row r="144">
          <cell r="AS144" t="str">
            <v>Check Reg. No</v>
          </cell>
          <cell r="AT144" t="str">
            <v/>
          </cell>
          <cell r="AU144" t="str">
            <v/>
          </cell>
          <cell r="AV144" t="str">
            <v/>
          </cell>
          <cell r="AW144" t="str">
            <v/>
          </cell>
          <cell r="AX144" t="str">
            <v/>
          </cell>
          <cell r="AY144" t="str">
            <v/>
          </cell>
          <cell r="AZ144" t="str">
            <v/>
          </cell>
          <cell r="BA144" t="str">
            <v/>
          </cell>
        </row>
        <row r="145">
          <cell r="AS145" t="str">
            <v>Check Reg. No</v>
          </cell>
          <cell r="AT145" t="str">
            <v/>
          </cell>
          <cell r="AU145" t="str">
            <v/>
          </cell>
          <cell r="AV145" t="str">
            <v/>
          </cell>
          <cell r="AW145" t="str">
            <v/>
          </cell>
          <cell r="AX145" t="str">
            <v/>
          </cell>
          <cell r="AY145" t="str">
            <v/>
          </cell>
          <cell r="AZ145" t="str">
            <v/>
          </cell>
          <cell r="BA145" t="str">
            <v/>
          </cell>
        </row>
        <row r="146">
          <cell r="AS146" t="str">
            <v>Check Reg. No</v>
          </cell>
          <cell r="AT146" t="str">
            <v/>
          </cell>
          <cell r="AU146" t="str">
            <v/>
          </cell>
          <cell r="AV146" t="str">
            <v/>
          </cell>
          <cell r="AW146" t="str">
            <v/>
          </cell>
          <cell r="AX146" t="str">
            <v/>
          </cell>
          <cell r="AY146" t="str">
            <v/>
          </cell>
          <cell r="AZ146" t="str">
            <v/>
          </cell>
          <cell r="BA146" t="str">
            <v/>
          </cell>
        </row>
        <row r="147">
          <cell r="AS147" t="str">
            <v>Check Reg. No</v>
          </cell>
          <cell r="AT147" t="str">
            <v/>
          </cell>
          <cell r="AU147" t="str">
            <v/>
          </cell>
          <cell r="AV147" t="str">
            <v/>
          </cell>
          <cell r="AW147" t="str">
            <v/>
          </cell>
          <cell r="AX147" t="str">
            <v/>
          </cell>
          <cell r="AY147" t="str">
            <v/>
          </cell>
          <cell r="AZ147" t="str">
            <v/>
          </cell>
          <cell r="BA147" t="str">
            <v/>
          </cell>
        </row>
        <row r="148">
          <cell r="AS148" t="str">
            <v>Check Reg. No</v>
          </cell>
          <cell r="AT148" t="str">
            <v/>
          </cell>
          <cell r="AU148" t="str">
            <v/>
          </cell>
          <cell r="AV148" t="str">
            <v/>
          </cell>
          <cell r="AW148" t="str">
            <v/>
          </cell>
          <cell r="AX148" t="str">
            <v/>
          </cell>
          <cell r="AY148" t="str">
            <v/>
          </cell>
          <cell r="AZ148" t="str">
            <v/>
          </cell>
          <cell r="BA148" t="str">
            <v/>
          </cell>
        </row>
        <row r="149">
          <cell r="AS149" t="str">
            <v>Check Reg. No</v>
          </cell>
          <cell r="AT149" t="str">
            <v/>
          </cell>
          <cell r="AU149" t="str">
            <v/>
          </cell>
          <cell r="AV149" t="str">
            <v/>
          </cell>
          <cell r="AW149" t="str">
            <v/>
          </cell>
          <cell r="AX149" t="str">
            <v/>
          </cell>
          <cell r="AY149" t="str">
            <v/>
          </cell>
          <cell r="AZ149" t="str">
            <v/>
          </cell>
          <cell r="BA149" t="str">
            <v/>
          </cell>
        </row>
        <row r="150">
          <cell r="AS150" t="str">
            <v>Check Reg. No</v>
          </cell>
          <cell r="AT150" t="str">
            <v/>
          </cell>
          <cell r="AU150" t="str">
            <v/>
          </cell>
          <cell r="AV150" t="str">
            <v/>
          </cell>
          <cell r="AW150" t="str">
            <v/>
          </cell>
          <cell r="AX150" t="str">
            <v/>
          </cell>
          <cell r="AY150" t="str">
            <v/>
          </cell>
          <cell r="AZ150" t="str">
            <v/>
          </cell>
          <cell r="BA150" t="str">
            <v/>
          </cell>
        </row>
        <row r="151">
          <cell r="AS151" t="str">
            <v>Check Reg. No</v>
          </cell>
          <cell r="AT151" t="str">
            <v/>
          </cell>
          <cell r="AU151" t="str">
            <v/>
          </cell>
          <cell r="AV151" t="str">
            <v/>
          </cell>
          <cell r="AW151" t="str">
            <v/>
          </cell>
          <cell r="AX151" t="str">
            <v/>
          </cell>
          <cell r="AY151" t="str">
            <v/>
          </cell>
          <cell r="AZ151" t="str">
            <v/>
          </cell>
          <cell r="BA151" t="str">
            <v/>
          </cell>
        </row>
        <row r="152">
          <cell r="AS152" t="str">
            <v>Check Reg. No</v>
          </cell>
          <cell r="AT152" t="str">
            <v/>
          </cell>
          <cell r="AU152" t="str">
            <v/>
          </cell>
          <cell r="AV152" t="str">
            <v/>
          </cell>
          <cell r="AW152" t="str">
            <v/>
          </cell>
          <cell r="AX152" t="str">
            <v/>
          </cell>
          <cell r="AY152" t="str">
            <v/>
          </cell>
          <cell r="AZ152" t="str">
            <v/>
          </cell>
          <cell r="BA152" t="str">
            <v/>
          </cell>
        </row>
        <row r="153">
          <cell r="AS153" t="str">
            <v>Check Reg. No</v>
          </cell>
          <cell r="AT153" t="str">
            <v/>
          </cell>
          <cell r="AU153" t="str">
            <v/>
          </cell>
          <cell r="AV153" t="str">
            <v/>
          </cell>
          <cell r="AW153" t="str">
            <v/>
          </cell>
          <cell r="AX153" t="str">
            <v/>
          </cell>
          <cell r="AY153" t="str">
            <v/>
          </cell>
          <cell r="AZ153" t="str">
            <v/>
          </cell>
          <cell r="BA153" t="str">
            <v/>
          </cell>
        </row>
        <row r="154">
          <cell r="AS154" t="str">
            <v>Check Reg. No</v>
          </cell>
          <cell r="AT154" t="str">
            <v/>
          </cell>
          <cell r="AU154" t="str">
            <v/>
          </cell>
          <cell r="AV154" t="str">
            <v/>
          </cell>
          <cell r="AW154" t="str">
            <v/>
          </cell>
          <cell r="AX154" t="str">
            <v/>
          </cell>
          <cell r="AY154" t="str">
            <v/>
          </cell>
          <cell r="AZ154" t="str">
            <v/>
          </cell>
          <cell r="BA154" t="str">
            <v/>
          </cell>
        </row>
        <row r="155">
          <cell r="AS155" t="str">
            <v>Check Reg. No</v>
          </cell>
          <cell r="AT155" t="str">
            <v/>
          </cell>
          <cell r="AU155" t="str">
            <v/>
          </cell>
          <cell r="AV155" t="str">
            <v/>
          </cell>
          <cell r="AW155" t="str">
            <v/>
          </cell>
          <cell r="AX155" t="str">
            <v/>
          </cell>
          <cell r="AY155" t="str">
            <v/>
          </cell>
          <cell r="AZ155" t="str">
            <v/>
          </cell>
          <cell r="BA155" t="str">
            <v/>
          </cell>
        </row>
        <row r="156">
          <cell r="AS156" t="str">
            <v>Check Reg. No</v>
          </cell>
          <cell r="AT156" t="str">
            <v/>
          </cell>
          <cell r="AU156" t="str">
            <v/>
          </cell>
          <cell r="AV156" t="str">
            <v/>
          </cell>
          <cell r="AW156" t="str">
            <v/>
          </cell>
          <cell r="AX156" t="str">
            <v/>
          </cell>
          <cell r="AY156" t="str">
            <v/>
          </cell>
          <cell r="AZ156" t="str">
            <v/>
          </cell>
          <cell r="BA156" t="str">
            <v/>
          </cell>
        </row>
        <row r="157">
          <cell r="AS157" t="str">
            <v>Check Reg. No</v>
          </cell>
          <cell r="AT157" t="str">
            <v/>
          </cell>
          <cell r="AU157" t="str">
            <v/>
          </cell>
          <cell r="AV157" t="str">
            <v/>
          </cell>
          <cell r="AW157" t="str">
            <v/>
          </cell>
          <cell r="AX157" t="str">
            <v/>
          </cell>
          <cell r="AY157" t="str">
            <v/>
          </cell>
          <cell r="AZ157" t="str">
            <v/>
          </cell>
          <cell r="BA157" t="str">
            <v/>
          </cell>
        </row>
        <row r="158">
          <cell r="AS158" t="str">
            <v>Check Reg. No</v>
          </cell>
          <cell r="AT158" t="str">
            <v/>
          </cell>
          <cell r="AU158" t="str">
            <v/>
          </cell>
          <cell r="AV158" t="str">
            <v/>
          </cell>
          <cell r="AW158" t="str">
            <v/>
          </cell>
          <cell r="AX158" t="str">
            <v/>
          </cell>
          <cell r="AY158" t="str">
            <v/>
          </cell>
          <cell r="AZ158" t="str">
            <v/>
          </cell>
          <cell r="BA158" t="str">
            <v/>
          </cell>
        </row>
        <row r="159">
          <cell r="AS159" t="str">
            <v>Check Reg. No</v>
          </cell>
          <cell r="AT159" t="str">
            <v/>
          </cell>
          <cell r="AU159" t="str">
            <v/>
          </cell>
          <cell r="AV159" t="str">
            <v/>
          </cell>
          <cell r="AW159" t="str">
            <v/>
          </cell>
          <cell r="AX159" t="str">
            <v/>
          </cell>
          <cell r="AY159" t="str">
            <v/>
          </cell>
          <cell r="AZ159" t="str">
            <v/>
          </cell>
          <cell r="BA159" t="str">
            <v/>
          </cell>
        </row>
        <row r="160">
          <cell r="AS160" t="str">
            <v>Check Reg. No</v>
          </cell>
          <cell r="AT160" t="str">
            <v/>
          </cell>
          <cell r="AU160" t="str">
            <v/>
          </cell>
          <cell r="AV160" t="str">
            <v/>
          </cell>
          <cell r="AW160" t="str">
            <v/>
          </cell>
          <cell r="AX160" t="str">
            <v/>
          </cell>
          <cell r="AY160" t="str">
            <v/>
          </cell>
          <cell r="AZ160" t="str">
            <v/>
          </cell>
          <cell r="BA160" t="str">
            <v/>
          </cell>
        </row>
        <row r="161">
          <cell r="AS161" t="str">
            <v>Check Reg. No</v>
          </cell>
          <cell r="AT161" t="str">
            <v/>
          </cell>
          <cell r="AU161" t="str">
            <v/>
          </cell>
          <cell r="AV161" t="str">
            <v/>
          </cell>
          <cell r="AW161" t="str">
            <v/>
          </cell>
          <cell r="AX161" t="str">
            <v/>
          </cell>
          <cell r="AY161" t="str">
            <v/>
          </cell>
          <cell r="AZ161" t="str">
            <v/>
          </cell>
          <cell r="BA161" t="str">
            <v/>
          </cell>
        </row>
        <row r="162">
          <cell r="AS162" t="str">
            <v>Check Reg. No</v>
          </cell>
          <cell r="AT162" t="str">
            <v/>
          </cell>
          <cell r="AU162" t="str">
            <v/>
          </cell>
          <cell r="AV162" t="str">
            <v/>
          </cell>
          <cell r="AW162" t="str">
            <v/>
          </cell>
          <cell r="AX162" t="str">
            <v/>
          </cell>
          <cell r="AY162" t="str">
            <v/>
          </cell>
          <cell r="AZ162" t="str">
            <v/>
          </cell>
          <cell r="BA162" t="str">
            <v/>
          </cell>
        </row>
        <row r="163">
          <cell r="AS163" t="str">
            <v>Check Reg. No</v>
          </cell>
          <cell r="AT163" t="str">
            <v/>
          </cell>
          <cell r="AU163" t="str">
            <v/>
          </cell>
          <cell r="AV163" t="str">
            <v/>
          </cell>
          <cell r="AW163" t="str">
            <v/>
          </cell>
          <cell r="AX163" t="str">
            <v/>
          </cell>
          <cell r="AY163" t="str">
            <v/>
          </cell>
          <cell r="AZ163" t="str">
            <v/>
          </cell>
          <cell r="BA163" t="str">
            <v/>
          </cell>
        </row>
        <row r="164">
          <cell r="AS164" t="str">
            <v>Check Reg. No</v>
          </cell>
          <cell r="AT164" t="str">
            <v/>
          </cell>
          <cell r="AU164" t="str">
            <v/>
          </cell>
          <cell r="AV164" t="str">
            <v/>
          </cell>
          <cell r="AW164" t="str">
            <v/>
          </cell>
          <cell r="AX164" t="str">
            <v/>
          </cell>
          <cell r="AY164" t="str">
            <v/>
          </cell>
          <cell r="AZ164" t="str">
            <v/>
          </cell>
          <cell r="BA164" t="str">
            <v/>
          </cell>
        </row>
        <row r="165">
          <cell r="AS165" t="str">
            <v>Check Reg. No</v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 t="str">
            <v/>
          </cell>
          <cell r="AZ165" t="str">
            <v/>
          </cell>
          <cell r="BA165" t="str">
            <v/>
          </cell>
        </row>
        <row r="166">
          <cell r="AS166" t="str">
            <v>Check Reg. No</v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AY166" t="str">
            <v/>
          </cell>
          <cell r="AZ166" t="str">
            <v/>
          </cell>
          <cell r="BA166" t="str">
            <v/>
          </cell>
        </row>
        <row r="167">
          <cell r="AS167" t="str">
            <v>Check Reg. No</v>
          </cell>
          <cell r="AT167" t="str">
            <v/>
          </cell>
          <cell r="AU167" t="str">
            <v/>
          </cell>
          <cell r="AV167" t="str">
            <v/>
          </cell>
          <cell r="AW167" t="str">
            <v/>
          </cell>
          <cell r="AX167" t="str">
            <v/>
          </cell>
          <cell r="AY167" t="str">
            <v/>
          </cell>
          <cell r="AZ167" t="str">
            <v/>
          </cell>
          <cell r="BA167" t="str">
            <v/>
          </cell>
        </row>
        <row r="168">
          <cell r="AS168" t="str">
            <v>Check Reg. No</v>
          </cell>
          <cell r="AT168" t="str">
            <v/>
          </cell>
          <cell r="AU168" t="str">
            <v/>
          </cell>
          <cell r="AV168" t="str">
            <v/>
          </cell>
          <cell r="AW168" t="str">
            <v/>
          </cell>
          <cell r="AX168" t="str">
            <v/>
          </cell>
          <cell r="AY168" t="str">
            <v/>
          </cell>
          <cell r="AZ168" t="str">
            <v/>
          </cell>
          <cell r="BA168" t="str">
            <v/>
          </cell>
        </row>
        <row r="169">
          <cell r="AS169" t="str">
            <v>Check Reg. No</v>
          </cell>
          <cell r="AT169" t="str">
            <v/>
          </cell>
          <cell r="AU169" t="str">
            <v/>
          </cell>
          <cell r="AV169" t="str">
            <v/>
          </cell>
          <cell r="AW169" t="str">
            <v/>
          </cell>
          <cell r="AX169" t="str">
            <v/>
          </cell>
          <cell r="AY169" t="str">
            <v/>
          </cell>
          <cell r="AZ169" t="str">
            <v/>
          </cell>
          <cell r="BA169" t="str">
            <v/>
          </cell>
        </row>
        <row r="170">
          <cell r="AS170" t="str">
            <v>Check Reg. No</v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 t="str">
            <v/>
          </cell>
          <cell r="BA170" t="str">
            <v/>
          </cell>
        </row>
        <row r="171">
          <cell r="AS171" t="str">
            <v>Check Reg. No</v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 t="str">
            <v/>
          </cell>
          <cell r="BA171" t="str">
            <v/>
          </cell>
        </row>
        <row r="172">
          <cell r="AS172" t="str">
            <v>Check Reg. No</v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 t="str">
            <v/>
          </cell>
          <cell r="BA172" t="str">
            <v/>
          </cell>
        </row>
        <row r="173">
          <cell r="AS173" t="str">
            <v>Check Reg. No</v>
          </cell>
          <cell r="AT173" t="str">
            <v/>
          </cell>
          <cell r="AU173" t="str">
            <v/>
          </cell>
          <cell r="AV173" t="str">
            <v/>
          </cell>
          <cell r="AW173" t="str">
            <v/>
          </cell>
          <cell r="AX173" t="str">
            <v/>
          </cell>
          <cell r="AY173" t="str">
            <v/>
          </cell>
          <cell r="AZ173" t="str">
            <v/>
          </cell>
          <cell r="BA173" t="str">
            <v/>
          </cell>
        </row>
        <row r="174">
          <cell r="AS174" t="str">
            <v>Check Reg. No</v>
          </cell>
          <cell r="AT174" t="str">
            <v/>
          </cell>
          <cell r="AU174" t="str">
            <v/>
          </cell>
          <cell r="AV174" t="str">
            <v/>
          </cell>
          <cell r="AW174" t="str">
            <v/>
          </cell>
          <cell r="AX174" t="str">
            <v/>
          </cell>
          <cell r="AY174" t="str">
            <v/>
          </cell>
          <cell r="AZ174" t="str">
            <v/>
          </cell>
          <cell r="BA174" t="str">
            <v/>
          </cell>
        </row>
        <row r="175">
          <cell r="AS175" t="str">
            <v>Check Reg. No</v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/>
          </cell>
          <cell r="AY175" t="str">
            <v/>
          </cell>
          <cell r="AZ175" t="str">
            <v/>
          </cell>
          <cell r="BA175" t="str">
            <v/>
          </cell>
        </row>
        <row r="176">
          <cell r="AS176" t="str">
            <v>Check Reg. No</v>
          </cell>
          <cell r="AT176" t="str">
            <v/>
          </cell>
          <cell r="AU176" t="str">
            <v/>
          </cell>
          <cell r="AV176" t="str">
            <v/>
          </cell>
          <cell r="AW176" t="str">
            <v/>
          </cell>
          <cell r="AX176" t="str">
            <v/>
          </cell>
          <cell r="AY176" t="str">
            <v/>
          </cell>
          <cell r="AZ176" t="str">
            <v/>
          </cell>
          <cell r="BA176" t="str">
            <v/>
          </cell>
        </row>
        <row r="177">
          <cell r="AS177" t="str">
            <v>Check Reg. No</v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/>
          </cell>
          <cell r="AY177" t="str">
            <v/>
          </cell>
          <cell r="AZ177" t="str">
            <v/>
          </cell>
          <cell r="BA177" t="str">
            <v/>
          </cell>
        </row>
        <row r="178">
          <cell r="AS178" t="str">
            <v>Check Reg. No</v>
          </cell>
          <cell r="AT178" t="str">
            <v/>
          </cell>
          <cell r="AU178" t="str">
            <v/>
          </cell>
          <cell r="AV178" t="str">
            <v/>
          </cell>
          <cell r="AW178" t="str">
            <v/>
          </cell>
          <cell r="AX178" t="str">
            <v/>
          </cell>
          <cell r="AY178" t="str">
            <v/>
          </cell>
          <cell r="AZ178" t="str">
            <v/>
          </cell>
          <cell r="BA178" t="str">
            <v/>
          </cell>
        </row>
        <row r="179">
          <cell r="AS179" t="str">
            <v>Check Reg. No</v>
          </cell>
          <cell r="AT179" t="str">
            <v/>
          </cell>
          <cell r="AU179" t="str">
            <v/>
          </cell>
          <cell r="AV179" t="str">
            <v/>
          </cell>
          <cell r="AW179" t="str">
            <v/>
          </cell>
          <cell r="AX179" t="str">
            <v/>
          </cell>
          <cell r="AY179" t="str">
            <v/>
          </cell>
          <cell r="AZ179" t="str">
            <v/>
          </cell>
          <cell r="BA179" t="str">
            <v/>
          </cell>
        </row>
        <row r="180">
          <cell r="AS180" t="str">
            <v>Check Reg. No</v>
          </cell>
          <cell r="AT180" t="str">
            <v/>
          </cell>
          <cell r="AU180" t="str">
            <v/>
          </cell>
          <cell r="AV180" t="str">
            <v/>
          </cell>
          <cell r="AW180" t="str">
            <v/>
          </cell>
          <cell r="AX180" t="str">
            <v/>
          </cell>
          <cell r="AY180" t="str">
            <v/>
          </cell>
          <cell r="AZ180" t="str">
            <v/>
          </cell>
          <cell r="BA180" t="str">
            <v/>
          </cell>
        </row>
        <row r="181">
          <cell r="AS181" t="str">
            <v>Check Reg. No</v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 t="str">
            <v/>
          </cell>
          <cell r="AZ181" t="str">
            <v/>
          </cell>
          <cell r="BA181" t="str">
            <v/>
          </cell>
        </row>
        <row r="182">
          <cell r="AS182" t="str">
            <v>Check Reg. No</v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</row>
        <row r="183">
          <cell r="AS183" t="str">
            <v>Check Reg. No</v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</row>
        <row r="184">
          <cell r="AS184" t="str">
            <v>Check Reg. No</v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</row>
        <row r="185">
          <cell r="AS185" t="str">
            <v>Check Reg. No</v>
          </cell>
          <cell r="AT185" t="str">
            <v/>
          </cell>
          <cell r="AU185" t="str">
            <v/>
          </cell>
          <cell r="AV185" t="str">
            <v/>
          </cell>
          <cell r="AW185" t="str">
            <v/>
          </cell>
          <cell r="AX185" t="str">
            <v/>
          </cell>
          <cell r="AY185" t="str">
            <v/>
          </cell>
          <cell r="AZ185" t="str">
            <v/>
          </cell>
          <cell r="BA185" t="str">
            <v/>
          </cell>
        </row>
        <row r="186">
          <cell r="AS186" t="str">
            <v>Check Reg. No</v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 t="str">
            <v/>
          </cell>
          <cell r="BA186" t="str">
            <v/>
          </cell>
        </row>
        <row r="187">
          <cell r="AS187" t="str">
            <v>Check Reg. No</v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 t="str">
            <v/>
          </cell>
          <cell r="BA187" t="str">
            <v/>
          </cell>
        </row>
        <row r="188">
          <cell r="AS188" t="str">
            <v>Check Reg. No</v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 t="str">
            <v/>
          </cell>
          <cell r="BA188" t="str">
            <v/>
          </cell>
        </row>
        <row r="189">
          <cell r="AS189" t="str">
            <v>Check Reg. No</v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</row>
        <row r="190">
          <cell r="AS190" t="str">
            <v>Check Reg. No</v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</row>
        <row r="191">
          <cell r="AS191" t="str">
            <v>Check Reg. No</v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</row>
        <row r="192">
          <cell r="AS192" t="str">
            <v>Check Reg. No</v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</row>
        <row r="193">
          <cell r="AS193" t="str">
            <v>Check Reg. No</v>
          </cell>
          <cell r="AT193" t="str">
            <v/>
          </cell>
          <cell r="AU193" t="str">
            <v/>
          </cell>
          <cell r="AV193" t="str">
            <v/>
          </cell>
          <cell r="AW193" t="str">
            <v/>
          </cell>
          <cell r="AX193" t="str">
            <v/>
          </cell>
          <cell r="AY193" t="str">
            <v/>
          </cell>
          <cell r="AZ193" t="str">
            <v/>
          </cell>
          <cell r="BA193" t="str">
            <v/>
          </cell>
        </row>
        <row r="194">
          <cell r="AS194" t="str">
            <v>Check Reg. No</v>
          </cell>
          <cell r="AT194" t="str">
            <v/>
          </cell>
          <cell r="AU194" t="str">
            <v/>
          </cell>
          <cell r="AV194" t="str">
            <v/>
          </cell>
          <cell r="AW194" t="str">
            <v/>
          </cell>
          <cell r="AX194" t="str">
            <v/>
          </cell>
          <cell r="AY194" t="str">
            <v/>
          </cell>
          <cell r="AZ194" t="str">
            <v/>
          </cell>
          <cell r="BA194" t="str">
            <v/>
          </cell>
        </row>
        <row r="195">
          <cell r="AS195" t="str">
            <v>Check Reg. No</v>
          </cell>
          <cell r="AT195" t="str">
            <v/>
          </cell>
          <cell r="AU195" t="str">
            <v/>
          </cell>
          <cell r="AV195" t="str">
            <v/>
          </cell>
          <cell r="AW195" t="str">
            <v/>
          </cell>
          <cell r="AX195" t="str">
            <v/>
          </cell>
          <cell r="AY195" t="str">
            <v/>
          </cell>
          <cell r="AZ195" t="str">
            <v/>
          </cell>
          <cell r="BA195" t="str">
            <v/>
          </cell>
        </row>
        <row r="196">
          <cell r="AS196" t="str">
            <v>Check Reg. No</v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</row>
        <row r="197">
          <cell r="AS197" t="str">
            <v>Check Reg. No</v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</row>
        <row r="198">
          <cell r="AS198" t="str">
            <v>Check Reg. No</v>
          </cell>
          <cell r="AT198" t="str">
            <v/>
          </cell>
          <cell r="AU198" t="str">
            <v/>
          </cell>
          <cell r="AV198" t="str">
            <v/>
          </cell>
          <cell r="AW198" t="str">
            <v/>
          </cell>
          <cell r="AX198" t="str">
            <v/>
          </cell>
          <cell r="AY198" t="str">
            <v/>
          </cell>
          <cell r="AZ198" t="str">
            <v/>
          </cell>
          <cell r="BA198" t="str">
            <v/>
          </cell>
        </row>
        <row r="199">
          <cell r="AS199" t="str">
            <v>Check Reg. No</v>
          </cell>
          <cell r="AT199" t="str">
            <v/>
          </cell>
          <cell r="AU199" t="str">
            <v/>
          </cell>
          <cell r="AV199" t="str">
            <v/>
          </cell>
          <cell r="AW199" t="str">
            <v/>
          </cell>
          <cell r="AX199" t="str">
            <v/>
          </cell>
          <cell r="AY199" t="str">
            <v/>
          </cell>
          <cell r="AZ199" t="str">
            <v/>
          </cell>
          <cell r="BA199" t="str">
            <v/>
          </cell>
        </row>
        <row r="200">
          <cell r="AS200" t="str">
            <v>Check Reg. No</v>
          </cell>
          <cell r="AT200" t="str">
            <v/>
          </cell>
          <cell r="AU200" t="str">
            <v/>
          </cell>
          <cell r="AV200" t="str">
            <v/>
          </cell>
          <cell r="AW200" t="str">
            <v/>
          </cell>
          <cell r="AX200" t="str">
            <v/>
          </cell>
          <cell r="AY200" t="str">
            <v/>
          </cell>
          <cell r="AZ200" t="str">
            <v/>
          </cell>
          <cell r="BA200" t="str">
            <v/>
          </cell>
        </row>
        <row r="201">
          <cell r="AS201" t="str">
            <v>Check Reg. No</v>
          </cell>
          <cell r="AT201" t="str">
            <v/>
          </cell>
          <cell r="AU201" t="str">
            <v/>
          </cell>
          <cell r="AV201" t="str">
            <v/>
          </cell>
          <cell r="AW201" t="str">
            <v/>
          </cell>
          <cell r="AX201" t="str">
            <v/>
          </cell>
          <cell r="AY201" t="str">
            <v/>
          </cell>
          <cell r="AZ201" t="str">
            <v/>
          </cell>
          <cell r="BA201" t="str">
            <v/>
          </cell>
        </row>
        <row r="202">
          <cell r="AS202" t="str">
            <v>Check Reg. No</v>
          </cell>
          <cell r="AT202" t="str">
            <v/>
          </cell>
          <cell r="AU202" t="str">
            <v/>
          </cell>
          <cell r="AV202" t="str">
            <v/>
          </cell>
          <cell r="AW202" t="str">
            <v/>
          </cell>
          <cell r="AX202" t="str">
            <v/>
          </cell>
          <cell r="AY202" t="str">
            <v/>
          </cell>
          <cell r="AZ202" t="str">
            <v/>
          </cell>
          <cell r="BA202" t="str">
            <v/>
          </cell>
        </row>
        <row r="203">
          <cell r="AS203" t="str">
            <v>Check Reg. No</v>
          </cell>
          <cell r="AT203" t="str">
            <v/>
          </cell>
          <cell r="AU203" t="str">
            <v/>
          </cell>
          <cell r="AV203" t="str">
            <v/>
          </cell>
          <cell r="AW203" t="str">
            <v/>
          </cell>
          <cell r="AX203" t="str">
            <v/>
          </cell>
          <cell r="AY203" t="str">
            <v/>
          </cell>
          <cell r="AZ203" t="str">
            <v/>
          </cell>
          <cell r="BA203" t="str">
            <v/>
          </cell>
        </row>
        <row r="204">
          <cell r="AS204" t="str">
            <v>Check Reg. No</v>
          </cell>
          <cell r="AT204" t="str">
            <v/>
          </cell>
          <cell r="AU204" t="str">
            <v/>
          </cell>
          <cell r="AV204" t="str">
            <v/>
          </cell>
          <cell r="AW204" t="str">
            <v/>
          </cell>
          <cell r="AX204" t="str">
            <v/>
          </cell>
          <cell r="AY204" t="str">
            <v/>
          </cell>
          <cell r="AZ204" t="str">
            <v/>
          </cell>
          <cell r="BA204" t="str">
            <v/>
          </cell>
        </row>
        <row r="205">
          <cell r="AS205" t="str">
            <v>Check Reg. No</v>
          </cell>
          <cell r="AT205" t="str">
            <v/>
          </cell>
          <cell r="AU205" t="str">
            <v/>
          </cell>
          <cell r="AV205" t="str">
            <v/>
          </cell>
          <cell r="AW205" t="str">
            <v/>
          </cell>
          <cell r="AX205" t="str">
            <v/>
          </cell>
          <cell r="AY205" t="str">
            <v/>
          </cell>
          <cell r="AZ205" t="str">
            <v/>
          </cell>
          <cell r="BA205" t="str">
            <v/>
          </cell>
        </row>
        <row r="206">
          <cell r="AS206" t="str">
            <v>Check Reg. No</v>
          </cell>
          <cell r="AT206" t="str">
            <v/>
          </cell>
          <cell r="AU206" t="str">
            <v/>
          </cell>
          <cell r="AV206" t="str">
            <v/>
          </cell>
          <cell r="AW206" t="str">
            <v/>
          </cell>
          <cell r="AX206" t="str">
            <v/>
          </cell>
          <cell r="AY206" t="str">
            <v/>
          </cell>
          <cell r="AZ206" t="str">
            <v/>
          </cell>
          <cell r="BA206" t="str">
            <v/>
          </cell>
        </row>
        <row r="207">
          <cell r="AS207" t="str">
            <v>Check Reg. No</v>
          </cell>
          <cell r="AT207" t="str">
            <v/>
          </cell>
          <cell r="AU207" t="str">
            <v/>
          </cell>
          <cell r="AV207" t="str">
            <v/>
          </cell>
          <cell r="AW207" t="str">
            <v/>
          </cell>
          <cell r="AX207" t="str">
            <v/>
          </cell>
          <cell r="AY207" t="str">
            <v/>
          </cell>
          <cell r="AZ207" t="str">
            <v/>
          </cell>
          <cell r="BA207" t="str">
            <v/>
          </cell>
        </row>
        <row r="208">
          <cell r="AS208" t="str">
            <v>Check Reg. No</v>
          </cell>
          <cell r="AT208" t="str">
            <v/>
          </cell>
          <cell r="AU208" t="str">
            <v/>
          </cell>
          <cell r="AV208" t="str">
            <v/>
          </cell>
          <cell r="AW208" t="str">
            <v/>
          </cell>
          <cell r="AX208" t="str">
            <v/>
          </cell>
          <cell r="AY208" t="str">
            <v/>
          </cell>
          <cell r="AZ208" t="str">
            <v/>
          </cell>
          <cell r="BA208" t="str">
            <v/>
          </cell>
        </row>
        <row r="209">
          <cell r="AR209" t="str">
            <v>FCTCONS/ND23/O38</v>
          </cell>
          <cell r="AS209" t="str">
            <v>OBIORAH PRECIOUS IFUNANYA</v>
          </cell>
          <cell r="AT209">
            <v>59</v>
          </cell>
          <cell r="AU209" t="str">
            <v/>
          </cell>
          <cell r="AV209" t="str">
            <v/>
          </cell>
          <cell r="AW209" t="str">
            <v/>
          </cell>
          <cell r="AX209" t="str">
            <v/>
          </cell>
          <cell r="AY209" t="str">
            <v/>
          </cell>
          <cell r="AZ209" t="str">
            <v/>
          </cell>
          <cell r="BA209">
            <v>51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selection activeCell="F8" sqref="F8"/>
    </sheetView>
  </sheetViews>
  <sheetFormatPr defaultRowHeight="15.5" x14ac:dyDescent="0.35"/>
  <cols>
    <col min="1" max="1" width="24" style="2" bestFit="1" customWidth="1"/>
    <col min="2" max="2" width="41.1796875" style="2" bestFit="1" customWidth="1"/>
    <col min="3" max="3" width="7.90625" style="2" bestFit="1" customWidth="1"/>
    <col min="4" max="6" width="8" style="2" bestFit="1" customWidth="1"/>
    <col min="7" max="7" width="7.90625" style="2" bestFit="1" customWidth="1"/>
    <col min="8" max="8" width="8.26953125" style="2" bestFit="1" customWidth="1"/>
    <col min="9" max="10" width="8" style="2" bestFit="1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</v>
      </c>
      <c r="H1" s="1" t="s">
        <v>85</v>
      </c>
      <c r="I1" s="1" t="s">
        <v>6</v>
      </c>
      <c r="J1" s="1" t="s">
        <v>7</v>
      </c>
    </row>
    <row r="2" spans="1:10" ht="16" x14ac:dyDescent="0.4">
      <c r="A2" s="3" t="s">
        <v>8</v>
      </c>
      <c r="B2" s="4" t="s">
        <v>47</v>
      </c>
      <c r="C2" s="2" t="str">
        <f>VLOOKUP(A2,[1]MasterSheet!$AR$10:$AX$209,7,0)</f>
        <v/>
      </c>
      <c r="D2" s="2" t="str">
        <f>VLOOKUP(A2,[1]MasterSheet!$AR$10:$AV$209,5,0)</f>
        <v/>
      </c>
      <c r="E2" s="2" t="str">
        <f>VLOOKUP(A2,[1]MasterSheet!$AR$10:$AW$209,6,0)</f>
        <v/>
      </c>
      <c r="F2" s="2" t="str">
        <f>VLOOKUP(A2,[1]MasterSheet!$AR$10:$AU$209,4,0)</f>
        <v/>
      </c>
      <c r="G2" s="2">
        <f>VLOOKUP(A2,[1]MasterSheet!$AR$10:$AZ$209,9,0)</f>
        <v>50</v>
      </c>
      <c r="H2" s="2" t="str">
        <f>VLOOKUP(A2,[1]MasterSheet!$AR$10:$AY$209,8,0)</f>
        <v/>
      </c>
      <c r="I2" s="2">
        <f>VLOOKUP(A2,[1]MasterSheet!$AR$10:$BA$209,10,0)</f>
        <v>51</v>
      </c>
      <c r="J2" s="2">
        <f>VLOOKUP(A2,[1]MasterSheet!$AR$10:$AT$209,3,0)</f>
        <v>51</v>
      </c>
    </row>
    <row r="3" spans="1:10" ht="16" x14ac:dyDescent="0.4">
      <c r="A3" s="3" t="s">
        <v>9</v>
      </c>
      <c r="B3" s="4" t="s">
        <v>48</v>
      </c>
      <c r="C3" s="2">
        <f>VLOOKUP(A3,[1]MasterSheet!$AR$10:$AX$209,7,0)</f>
        <v>54</v>
      </c>
      <c r="D3" s="2" t="str">
        <f>VLOOKUP(A3,[1]MasterSheet!$AR$10:$AV$209,5,0)</f>
        <v/>
      </c>
      <c r="E3" s="2" t="str">
        <f>VLOOKUP(A3,[1]MasterSheet!$AR$10:$AW$209,6,0)</f>
        <v/>
      </c>
      <c r="F3" s="2" t="str">
        <f>VLOOKUP(A3,[1]MasterSheet!$AR$10:$AU$209,4,0)</f>
        <v/>
      </c>
      <c r="G3" s="2" t="str">
        <f>VLOOKUP(A3,[1]MasterSheet!$AR$10:$AZ$209,9,0)</f>
        <v/>
      </c>
      <c r="H3" s="2">
        <f>VLOOKUP(A3,[1]MasterSheet!$AR$10:$AY$209,8,0)</f>
        <v>52</v>
      </c>
      <c r="I3" s="2">
        <f>VLOOKUP(A3,[1]MasterSheet!$AR$10:$BA$209,10,0)</f>
        <v>52</v>
      </c>
      <c r="J3" s="2" t="str">
        <f>VLOOKUP(A3,[1]MasterSheet!$AR$10:$AT$209,3,0)</f>
        <v/>
      </c>
    </row>
    <row r="4" spans="1:10" ht="16" x14ac:dyDescent="0.4">
      <c r="A4" s="3" t="s">
        <v>10</v>
      </c>
      <c r="B4" s="4" t="s">
        <v>49</v>
      </c>
      <c r="C4" s="2">
        <f>VLOOKUP(A4,[1]MasterSheet!$AR$10:$AX$209,7,0)</f>
        <v>50</v>
      </c>
      <c r="D4" s="2" t="str">
        <f>VLOOKUP(A4,[1]MasterSheet!$AR$10:$AV$209,5,0)</f>
        <v/>
      </c>
      <c r="E4" s="2">
        <f>VLOOKUP(A4,[1]MasterSheet!$AR$10:$AW$209,6,0)</f>
        <v>50</v>
      </c>
      <c r="F4" s="2" t="str">
        <f>VLOOKUP(A4,[1]MasterSheet!$AR$10:$AU$209,4,0)</f>
        <v/>
      </c>
      <c r="G4" s="2" t="str">
        <f>VLOOKUP(A4,[1]MasterSheet!$AR$10:$AZ$209,9,0)</f>
        <v/>
      </c>
      <c r="H4" s="2">
        <f>VLOOKUP(A4,[1]MasterSheet!$AR$10:$AY$209,8,0)</f>
        <v>51</v>
      </c>
      <c r="I4" s="2">
        <f>VLOOKUP(A4,[1]MasterSheet!$AR$10:$BA$209,10,0)</f>
        <v>52</v>
      </c>
      <c r="J4" s="2" t="str">
        <f>VLOOKUP(A4,[1]MasterSheet!$AR$10:$AT$209,3,0)</f>
        <v/>
      </c>
    </row>
    <row r="5" spans="1:10" ht="16" x14ac:dyDescent="0.4">
      <c r="A5" s="3" t="s">
        <v>11</v>
      </c>
      <c r="B5" s="4" t="s">
        <v>50</v>
      </c>
      <c r="C5" s="2">
        <f>VLOOKUP(A5,[1]MasterSheet!$AR$10:$AX$209,7,0)</f>
        <v>51</v>
      </c>
      <c r="D5" s="2">
        <f>VLOOKUP(A5,[1]MasterSheet!$AR$10:$AV$209,5,0)</f>
        <v>51</v>
      </c>
      <c r="E5" s="2" t="str">
        <f>VLOOKUP(A5,[1]MasterSheet!$AR$10:$AW$209,6,0)</f>
        <v/>
      </c>
      <c r="F5" s="2" t="str">
        <f>VLOOKUP(A5,[1]MasterSheet!$AR$10:$AU$209,4,0)</f>
        <v/>
      </c>
      <c r="G5" s="2">
        <f>VLOOKUP(A5,[1]MasterSheet!$AR$10:$AZ$209,9,0)</f>
        <v>51</v>
      </c>
      <c r="H5" s="2" t="str">
        <f>VLOOKUP(A5,[1]MasterSheet!$AR$10:$AY$209,8,0)</f>
        <v/>
      </c>
      <c r="I5" s="2" t="str">
        <f>VLOOKUP(A5,[1]MasterSheet!$AR$10:$BA$209,10,0)</f>
        <v/>
      </c>
      <c r="J5" s="2">
        <f>VLOOKUP(A5,[1]MasterSheet!$AR$10:$AT$209,3,0)</f>
        <v>53</v>
      </c>
    </row>
    <row r="6" spans="1:10" ht="16" x14ac:dyDescent="0.4">
      <c r="A6" s="3" t="s">
        <v>12</v>
      </c>
      <c r="B6" s="4" t="s">
        <v>51</v>
      </c>
      <c r="C6" s="2">
        <f>VLOOKUP(A6,[1]MasterSheet!$AR$10:$AX$209,7,0)</f>
        <v>51</v>
      </c>
      <c r="D6" s="2" t="str">
        <f>VLOOKUP(A6,[1]MasterSheet!$AR$10:$AV$209,5,0)</f>
        <v/>
      </c>
      <c r="E6" s="2" t="str">
        <f>VLOOKUP(A6,[1]MasterSheet!$AR$10:$AW$209,6,0)</f>
        <v/>
      </c>
      <c r="F6" s="2" t="str">
        <f>VLOOKUP(A6,[1]MasterSheet!$AR$10:$AU$209,4,0)</f>
        <v/>
      </c>
      <c r="G6" s="2" t="str">
        <f>VLOOKUP(A6,[1]MasterSheet!$AR$10:$AZ$209,9,0)</f>
        <v/>
      </c>
      <c r="H6" s="2" t="str">
        <f>VLOOKUP(A6,[1]MasterSheet!$AR$10:$AY$209,8,0)</f>
        <v/>
      </c>
      <c r="I6" s="2" t="str">
        <f>VLOOKUP(A6,[1]MasterSheet!$AR$10:$BA$209,10,0)</f>
        <v/>
      </c>
      <c r="J6" s="2">
        <f>VLOOKUP(A6,[1]MasterSheet!$AR$10:$AT$209,3,0)</f>
        <v>51</v>
      </c>
    </row>
    <row r="7" spans="1:10" ht="16" x14ac:dyDescent="0.4">
      <c r="A7" s="3" t="s">
        <v>13</v>
      </c>
      <c r="B7" s="4" t="s">
        <v>52</v>
      </c>
      <c r="C7" s="2" t="str">
        <f>VLOOKUP(A7,[1]MasterSheet!$AR$10:$AX$209,7,0)</f>
        <v/>
      </c>
      <c r="D7" s="2" t="str">
        <f>VLOOKUP(A7,[1]MasterSheet!$AR$10:$AV$209,5,0)</f>
        <v/>
      </c>
      <c r="E7" s="2">
        <f>VLOOKUP(A7,[1]MasterSheet!$AR$10:$AW$209,6,0)</f>
        <v>52</v>
      </c>
      <c r="F7" s="2" t="str">
        <f>VLOOKUP(A7,[1]MasterSheet!$AR$10:$AU$209,4,0)</f>
        <v/>
      </c>
      <c r="G7" s="2">
        <f>VLOOKUP(A7,[1]MasterSheet!$AR$10:$AZ$209,9,0)</f>
        <v>51</v>
      </c>
      <c r="H7" s="2">
        <f>VLOOKUP(A7,[1]MasterSheet!$AR$10:$AY$209,8,0)</f>
        <v>51</v>
      </c>
      <c r="I7" s="2" t="str">
        <f>VLOOKUP(A7,[1]MasterSheet!$AR$10:$BA$209,10,0)</f>
        <v/>
      </c>
      <c r="J7" s="2">
        <f>VLOOKUP(A7,[1]MasterSheet!$AR$10:$AT$209,3,0)</f>
        <v>54</v>
      </c>
    </row>
    <row r="8" spans="1:10" ht="16" x14ac:dyDescent="0.4">
      <c r="A8" s="3" t="s">
        <v>14</v>
      </c>
      <c r="B8" s="4" t="s">
        <v>53</v>
      </c>
      <c r="C8" s="2" t="str">
        <f>VLOOKUP(A8,[1]MasterSheet!$AR$10:$AX$209,7,0)</f>
        <v/>
      </c>
      <c r="D8" s="2" t="str">
        <f>VLOOKUP(A8,[1]MasterSheet!$AR$10:$AV$209,5,0)</f>
        <v/>
      </c>
      <c r="E8" s="2" t="str">
        <f>VLOOKUP(A8,[1]MasterSheet!$AR$10:$AW$209,6,0)</f>
        <v/>
      </c>
      <c r="F8" s="2">
        <f>VLOOKUP(A8,[1]MasterSheet!$AR$10:$AU$209,4,0)</f>
        <v>52</v>
      </c>
      <c r="G8" s="2" t="str">
        <f>VLOOKUP(A8,[1]MasterSheet!$AR$10:$AZ$209,9,0)</f>
        <v/>
      </c>
      <c r="H8" s="2" t="str">
        <f>VLOOKUP(A8,[1]MasterSheet!$AR$10:$AY$209,8,0)</f>
        <v/>
      </c>
      <c r="I8" s="2" t="str">
        <f>VLOOKUP(A8,[1]MasterSheet!$AR$10:$BA$209,10,0)</f>
        <v/>
      </c>
      <c r="J8" s="2" t="str">
        <f>VLOOKUP(A8,[1]MasterSheet!$AR$10:$AT$209,3,0)</f>
        <v/>
      </c>
    </row>
    <row r="9" spans="1:10" ht="16" x14ac:dyDescent="0.4">
      <c r="A9" s="3" t="s">
        <v>15</v>
      </c>
      <c r="B9" s="4" t="s">
        <v>54</v>
      </c>
      <c r="C9" s="2" t="str">
        <f>VLOOKUP(A9,[1]MasterSheet!$AR$10:$AX$209,7,0)</f>
        <v/>
      </c>
      <c r="D9" s="2">
        <f>VLOOKUP(A9,[1]MasterSheet!$AR$10:$AV$209,5,0)</f>
        <v>51</v>
      </c>
      <c r="E9" s="2" t="str">
        <f>VLOOKUP(A9,[1]MasterSheet!$AR$10:$AW$209,6,0)</f>
        <v/>
      </c>
      <c r="F9" s="2" t="str">
        <f>VLOOKUP(A9,[1]MasterSheet!$AR$10:$AU$209,4,0)</f>
        <v/>
      </c>
      <c r="G9" s="2" t="str">
        <f>VLOOKUP(A9,[1]MasterSheet!$AR$10:$AZ$209,9,0)</f>
        <v/>
      </c>
      <c r="H9" s="2" t="str">
        <f>VLOOKUP(A9,[1]MasterSheet!$AR$10:$AY$209,8,0)</f>
        <v/>
      </c>
      <c r="I9" s="2" t="str">
        <f>VLOOKUP(A9,[1]MasterSheet!$AR$10:$BA$209,10,0)</f>
        <v/>
      </c>
      <c r="J9" s="2" t="str">
        <f>VLOOKUP(A9,[1]MasterSheet!$AR$10:$AT$209,3,0)</f>
        <v/>
      </c>
    </row>
    <row r="10" spans="1:10" ht="16" x14ac:dyDescent="0.4">
      <c r="A10" s="3" t="s">
        <v>16</v>
      </c>
      <c r="B10" s="4" t="s">
        <v>55</v>
      </c>
      <c r="C10" s="2" t="str">
        <f>VLOOKUP(A10,[1]MasterSheet!$AR$10:$AX$209,7,0)</f>
        <v/>
      </c>
      <c r="D10" s="2">
        <f>VLOOKUP(A10,[1]MasterSheet!$AR$10:$AV$209,5,0)</f>
        <v>53</v>
      </c>
      <c r="E10" s="2" t="str">
        <f>VLOOKUP(A10,[1]MasterSheet!$AR$10:$AW$209,6,0)</f>
        <v/>
      </c>
      <c r="F10" s="2" t="str">
        <f>VLOOKUP(A10,[1]MasterSheet!$AR$10:$AU$209,4,0)</f>
        <v/>
      </c>
      <c r="G10" s="2" t="str">
        <f>VLOOKUP(A10,[1]MasterSheet!$AR$10:$AZ$209,9,0)</f>
        <v/>
      </c>
      <c r="H10" s="2" t="str">
        <f>VLOOKUP(A10,[1]MasterSheet!$AR$10:$AY$209,8,0)</f>
        <v/>
      </c>
      <c r="I10" s="2" t="str">
        <f>VLOOKUP(A10,[1]MasterSheet!$AR$10:$BA$209,10,0)</f>
        <v/>
      </c>
      <c r="J10" s="2" t="str">
        <f>VLOOKUP(A10,[1]MasterSheet!$AR$10:$AT$209,3,0)</f>
        <v/>
      </c>
    </row>
    <row r="11" spans="1:10" ht="16" x14ac:dyDescent="0.4">
      <c r="A11" s="3" t="s">
        <v>17</v>
      </c>
      <c r="B11" s="4" t="s">
        <v>56</v>
      </c>
      <c r="C11" s="2">
        <f>VLOOKUP(A11,[1]MasterSheet!$AR$10:$AX$209,7,0)</f>
        <v>52</v>
      </c>
      <c r="D11" s="2">
        <f>VLOOKUP(A11,[1]MasterSheet!$AR$10:$AV$209,5,0)</f>
        <v>52</v>
      </c>
      <c r="E11" s="2" t="str">
        <f>VLOOKUP(A11,[1]MasterSheet!$AR$10:$AW$209,6,0)</f>
        <v/>
      </c>
      <c r="F11" s="2" t="str">
        <f>VLOOKUP(A11,[1]MasterSheet!$AR$10:$AU$209,4,0)</f>
        <v/>
      </c>
      <c r="G11" s="2" t="str">
        <f>VLOOKUP(A11,[1]MasterSheet!$AR$10:$AZ$209,9,0)</f>
        <v/>
      </c>
      <c r="H11" s="2" t="str">
        <f>VLOOKUP(A11,[1]MasterSheet!$AR$10:$AY$209,8,0)</f>
        <v/>
      </c>
      <c r="I11" s="2" t="str">
        <f>VLOOKUP(A11,[1]MasterSheet!$AR$10:$BA$209,10,0)</f>
        <v/>
      </c>
      <c r="J11" s="2" t="str">
        <f>VLOOKUP(A11,[1]MasterSheet!$AR$10:$AT$209,3,0)</f>
        <v/>
      </c>
    </row>
    <row r="12" spans="1:10" ht="16" x14ac:dyDescent="0.4">
      <c r="A12" s="3" t="s">
        <v>18</v>
      </c>
      <c r="B12" s="4" t="s">
        <v>57</v>
      </c>
      <c r="C12" s="2" t="str">
        <f>VLOOKUP(A12,[1]MasterSheet!$AR$10:$AX$209,7,0)</f>
        <v/>
      </c>
      <c r="D12" s="2">
        <f>VLOOKUP(A12,[1]MasterSheet!$AR$10:$AV$209,5,0)</f>
        <v>51</v>
      </c>
      <c r="E12" s="2" t="str">
        <f>VLOOKUP(A12,[1]MasterSheet!$AR$10:$AW$209,6,0)</f>
        <v/>
      </c>
      <c r="F12" s="2" t="str">
        <f>VLOOKUP(A12,[1]MasterSheet!$AR$10:$AU$209,4,0)</f>
        <v/>
      </c>
      <c r="G12" s="2" t="str">
        <f>VLOOKUP(A12,[1]MasterSheet!$AR$10:$AZ$209,9,0)</f>
        <v/>
      </c>
      <c r="H12" s="2">
        <f>VLOOKUP(A12,[1]MasterSheet!$AR$10:$AY$209,8,0)</f>
        <v>51</v>
      </c>
      <c r="I12" s="2" t="str">
        <f>VLOOKUP(A12,[1]MasterSheet!$AR$10:$BA$209,10,0)</f>
        <v/>
      </c>
      <c r="J12" s="2" t="str">
        <f>VLOOKUP(A12,[1]MasterSheet!$AR$10:$AT$209,3,0)</f>
        <v/>
      </c>
    </row>
    <row r="13" spans="1:10" ht="16" x14ac:dyDescent="0.4">
      <c r="A13" s="3" t="s">
        <v>19</v>
      </c>
      <c r="B13" s="4" t="s">
        <v>58</v>
      </c>
      <c r="C13" s="2">
        <f>VLOOKUP(A13,[1]MasterSheet!$AR$10:$AX$209,7,0)</f>
        <v>52</v>
      </c>
      <c r="D13" s="2">
        <f>VLOOKUP(A13,[1]MasterSheet!$AR$10:$AV$209,5,0)</f>
        <v>50</v>
      </c>
      <c r="E13" s="2" t="str">
        <f>VLOOKUP(A13,[1]MasterSheet!$AR$10:$AW$209,6,0)</f>
        <v/>
      </c>
      <c r="F13" s="2" t="str">
        <f>VLOOKUP(A13,[1]MasterSheet!$AR$10:$AU$209,4,0)</f>
        <v/>
      </c>
      <c r="G13" s="2" t="str">
        <f>VLOOKUP(A13,[1]MasterSheet!$AR$10:$AZ$209,9,0)</f>
        <v/>
      </c>
      <c r="H13" s="2">
        <f>VLOOKUP(A13,[1]MasterSheet!$AR$10:$AY$209,8,0)</f>
        <v>50</v>
      </c>
      <c r="I13" s="2" t="str">
        <f>VLOOKUP(A13,[1]MasterSheet!$AR$10:$BA$209,10,0)</f>
        <v/>
      </c>
      <c r="J13" s="2" t="str">
        <f>VLOOKUP(A13,[1]MasterSheet!$AR$10:$AT$209,3,0)</f>
        <v/>
      </c>
    </row>
    <row r="14" spans="1:10" ht="16" x14ac:dyDescent="0.4">
      <c r="A14" s="3" t="s">
        <v>20</v>
      </c>
      <c r="B14" s="4" t="s">
        <v>59</v>
      </c>
      <c r="C14" s="2">
        <f>VLOOKUP(A14,[1]MasterSheet!$AR$10:$AX$209,7,0)</f>
        <v>54</v>
      </c>
      <c r="D14" s="2">
        <f>VLOOKUP(A14,[1]MasterSheet!$AR$10:$AV$209,5,0)</f>
        <v>50</v>
      </c>
      <c r="E14" s="2" t="str">
        <f>VLOOKUP(A14,[1]MasterSheet!$AR$10:$AW$209,6,0)</f>
        <v/>
      </c>
      <c r="F14" s="2" t="str">
        <f>VLOOKUP(A14,[1]MasterSheet!$AR$10:$AU$209,4,0)</f>
        <v/>
      </c>
      <c r="G14" s="2" t="str">
        <f>VLOOKUP(A14,[1]MasterSheet!$AR$10:$AZ$209,9,0)</f>
        <v/>
      </c>
      <c r="H14" s="2">
        <f>VLOOKUP(A14,[1]MasterSheet!$AR$10:$AY$209,8,0)</f>
        <v>50</v>
      </c>
      <c r="I14" s="2" t="str">
        <f>VLOOKUP(A14,[1]MasterSheet!$AR$10:$BA$209,10,0)</f>
        <v/>
      </c>
      <c r="J14" s="2" t="str">
        <f>VLOOKUP(A14,[1]MasterSheet!$AR$10:$AT$209,3,0)</f>
        <v/>
      </c>
    </row>
    <row r="15" spans="1:10" ht="16" x14ac:dyDescent="0.4">
      <c r="A15" s="3" t="s">
        <v>21</v>
      </c>
      <c r="B15" s="4" t="s">
        <v>60</v>
      </c>
      <c r="C15" s="2" t="str">
        <f>VLOOKUP(A15,[1]MasterSheet!$AR$10:$AX$209,7,0)</f>
        <v/>
      </c>
      <c r="D15" s="2" t="str">
        <f>VLOOKUP(A15,[1]MasterSheet!$AR$10:$AV$209,5,0)</f>
        <v/>
      </c>
      <c r="E15" s="2">
        <f>VLOOKUP(A15,[1]MasterSheet!$AR$10:$AW$209,6,0)</f>
        <v>54</v>
      </c>
      <c r="F15" s="2" t="str">
        <f>VLOOKUP(A15,[1]MasterSheet!$AR$10:$AU$209,4,0)</f>
        <v/>
      </c>
      <c r="G15" s="2" t="str">
        <f>VLOOKUP(A15,[1]MasterSheet!$AR$10:$AZ$209,9,0)</f>
        <v/>
      </c>
      <c r="H15" s="2">
        <f>VLOOKUP(A15,[1]MasterSheet!$AR$10:$AY$209,8,0)</f>
        <v>53</v>
      </c>
      <c r="I15" s="2" t="str">
        <f>VLOOKUP(A15,[1]MasterSheet!$AR$10:$BA$209,10,0)</f>
        <v/>
      </c>
      <c r="J15" s="2" t="str">
        <f>VLOOKUP(A15,[1]MasterSheet!$AR$10:$AT$209,3,0)</f>
        <v/>
      </c>
    </row>
    <row r="16" spans="1:10" ht="16" x14ac:dyDescent="0.4">
      <c r="A16" s="3" t="s">
        <v>22</v>
      </c>
      <c r="B16" s="4" t="s">
        <v>61</v>
      </c>
      <c r="C16" s="2" t="str">
        <f>VLOOKUP(A16,[1]MasterSheet!$AR$10:$AX$209,7,0)</f>
        <v/>
      </c>
      <c r="D16" s="2" t="str">
        <f>VLOOKUP(A16,[1]MasterSheet!$AR$10:$AV$209,5,0)</f>
        <v/>
      </c>
      <c r="E16" s="2">
        <f>VLOOKUP(A16,[1]MasterSheet!$AR$10:$AW$209,6,0)</f>
        <v>52</v>
      </c>
      <c r="F16" s="2" t="str">
        <f>VLOOKUP(A16,[1]MasterSheet!$AR$10:$AU$209,4,0)</f>
        <v/>
      </c>
      <c r="G16" s="2">
        <f>VLOOKUP(A16,[1]MasterSheet!$AR$10:$AZ$209,9,0)</f>
        <v>52</v>
      </c>
      <c r="H16" s="2" t="str">
        <f>VLOOKUP(A16,[1]MasterSheet!$AR$10:$AY$209,8,0)</f>
        <v/>
      </c>
      <c r="I16" s="2" t="str">
        <f>VLOOKUP(A16,[1]MasterSheet!$AR$10:$BA$209,10,0)</f>
        <v/>
      </c>
      <c r="J16" s="2" t="str">
        <f>VLOOKUP(A16,[1]MasterSheet!$AR$10:$AT$209,3,0)</f>
        <v/>
      </c>
    </row>
    <row r="17" spans="1:10" ht="16" x14ac:dyDescent="0.4">
      <c r="A17" s="3" t="s">
        <v>23</v>
      </c>
      <c r="B17" s="4" t="s">
        <v>62</v>
      </c>
      <c r="C17" s="2">
        <f>VLOOKUP(A17,[1]MasterSheet!$AR$10:$AX$209,7,0)</f>
        <v>53</v>
      </c>
      <c r="D17" s="2" t="str">
        <f>VLOOKUP(A17,[1]MasterSheet!$AR$10:$AV$209,5,0)</f>
        <v/>
      </c>
      <c r="E17" s="2">
        <f>VLOOKUP(A17,[1]MasterSheet!$AR$10:$AW$209,6,0)</f>
        <v>53</v>
      </c>
      <c r="F17" s="2" t="str">
        <f>VLOOKUP(A17,[1]MasterSheet!$AR$10:$AU$209,4,0)</f>
        <v/>
      </c>
      <c r="G17" s="2" t="str">
        <f>VLOOKUP(A17,[1]MasterSheet!$AR$10:$AZ$209,9,0)</f>
        <v/>
      </c>
      <c r="H17" s="2">
        <f>VLOOKUP(A17,[1]MasterSheet!$AR$10:$AY$209,8,0)</f>
        <v>51</v>
      </c>
      <c r="I17" s="2" t="str">
        <f>VLOOKUP(A17,[1]MasterSheet!$AR$10:$BA$209,10,0)</f>
        <v/>
      </c>
      <c r="J17" s="2" t="str">
        <f>VLOOKUP(A17,[1]MasterSheet!$AR$10:$AT$209,3,0)</f>
        <v/>
      </c>
    </row>
    <row r="18" spans="1:10" ht="16" x14ac:dyDescent="0.4">
      <c r="A18" s="3" t="s">
        <v>24</v>
      </c>
      <c r="B18" s="4" t="s">
        <v>63</v>
      </c>
      <c r="C18" s="2" t="str">
        <f>VLOOKUP(A18,[1]MasterSheet!$AR$10:$AX$209,7,0)</f>
        <v/>
      </c>
      <c r="D18" s="2" t="str">
        <f>VLOOKUP(A18,[1]MasterSheet!$AR$10:$AV$209,5,0)</f>
        <v/>
      </c>
      <c r="E18" s="2">
        <f>VLOOKUP(A18,[1]MasterSheet!$AR$10:$AW$209,6,0)</f>
        <v>54</v>
      </c>
      <c r="F18" s="2" t="str">
        <f>VLOOKUP(A18,[1]MasterSheet!$AR$10:$AU$209,4,0)</f>
        <v/>
      </c>
      <c r="G18" s="2" t="str">
        <f>VLOOKUP(A18,[1]MasterSheet!$AR$10:$AZ$209,9,0)</f>
        <v/>
      </c>
      <c r="H18" s="2" t="str">
        <f>VLOOKUP(A18,[1]MasterSheet!$AR$10:$AY$209,8,0)</f>
        <v/>
      </c>
      <c r="I18" s="2" t="str">
        <f>VLOOKUP(A18,[1]MasterSheet!$AR$10:$BA$209,10,0)</f>
        <v/>
      </c>
      <c r="J18" s="2" t="str">
        <f>VLOOKUP(A18,[1]MasterSheet!$AR$10:$AT$209,3,0)</f>
        <v/>
      </c>
    </row>
    <row r="19" spans="1:10" ht="16" x14ac:dyDescent="0.4">
      <c r="A19" s="3" t="s">
        <v>25</v>
      </c>
      <c r="B19" s="4" t="s">
        <v>64</v>
      </c>
      <c r="C19" s="2">
        <f>VLOOKUP(A19,[1]MasterSheet!$AR$10:$AX$209,7,0)</f>
        <v>53</v>
      </c>
      <c r="D19" s="2" t="str">
        <f>VLOOKUP(A19,[1]MasterSheet!$AR$10:$AV$209,5,0)</f>
        <v/>
      </c>
      <c r="E19" s="2">
        <f>VLOOKUP(A19,[1]MasterSheet!$AR$10:$AW$209,6,0)</f>
        <v>52</v>
      </c>
      <c r="F19" s="2" t="str">
        <f>VLOOKUP(A19,[1]MasterSheet!$AR$10:$AU$209,4,0)</f>
        <v/>
      </c>
      <c r="G19" s="2">
        <f>VLOOKUP(A19,[1]MasterSheet!$AR$10:$AZ$209,9,0)</f>
        <v>50</v>
      </c>
      <c r="H19" s="2" t="str">
        <f>VLOOKUP(A19,[1]MasterSheet!$AR$10:$AY$209,8,0)</f>
        <v/>
      </c>
      <c r="I19" s="2" t="str">
        <f>VLOOKUP(A19,[1]MasterSheet!$AR$10:$BA$209,10,0)</f>
        <v/>
      </c>
      <c r="J19" s="2" t="str">
        <f>VLOOKUP(A19,[1]MasterSheet!$AR$10:$AT$209,3,0)</f>
        <v/>
      </c>
    </row>
    <row r="20" spans="1:10" ht="16" x14ac:dyDescent="0.4">
      <c r="A20" s="3" t="s">
        <v>26</v>
      </c>
      <c r="B20" s="4" t="s">
        <v>65</v>
      </c>
      <c r="C20" s="2" t="str">
        <f>VLOOKUP(A20,[1]MasterSheet!$AR$10:$AX$209,7,0)</f>
        <v/>
      </c>
      <c r="D20" s="2" t="str">
        <f>VLOOKUP(A20,[1]MasterSheet!$AR$10:$AV$209,5,0)</f>
        <v/>
      </c>
      <c r="E20" s="2">
        <f>VLOOKUP(A20,[1]MasterSheet!$AR$10:$AW$209,6,0)</f>
        <v>54</v>
      </c>
      <c r="F20" s="2" t="str">
        <f>VLOOKUP(A20,[1]MasterSheet!$AR$10:$AU$209,4,0)</f>
        <v/>
      </c>
      <c r="G20" s="2" t="str">
        <f>VLOOKUP(A20,[1]MasterSheet!$AR$10:$AZ$209,9,0)</f>
        <v/>
      </c>
      <c r="H20" s="2">
        <f>VLOOKUP(A20,[1]MasterSheet!$AR$10:$AY$209,8,0)</f>
        <v>54</v>
      </c>
      <c r="I20" s="2" t="str">
        <f>VLOOKUP(A20,[1]MasterSheet!$AR$10:$BA$209,10,0)</f>
        <v/>
      </c>
      <c r="J20" s="2" t="str">
        <f>VLOOKUP(A20,[1]MasterSheet!$AR$10:$AT$209,3,0)</f>
        <v/>
      </c>
    </row>
    <row r="21" spans="1:10" ht="16" x14ac:dyDescent="0.4">
      <c r="A21" s="3" t="s">
        <v>27</v>
      </c>
      <c r="B21" s="4" t="s">
        <v>66</v>
      </c>
      <c r="C21" s="2" t="str">
        <f>VLOOKUP(A21,[1]MasterSheet!$AR$10:$AX$209,7,0)</f>
        <v/>
      </c>
      <c r="D21" s="2" t="str">
        <f>VLOOKUP(A21,[1]MasterSheet!$AR$10:$AV$209,5,0)</f>
        <v/>
      </c>
      <c r="E21" s="2">
        <f>VLOOKUP(A21,[1]MasterSheet!$AR$10:$AW$209,6,0)</f>
        <v>54</v>
      </c>
      <c r="F21" s="2" t="str">
        <f>VLOOKUP(A21,[1]MasterSheet!$AR$10:$AU$209,4,0)</f>
        <v/>
      </c>
      <c r="G21" s="2" t="str">
        <f>VLOOKUP(A21,[1]MasterSheet!$AR$10:$AZ$209,9,0)</f>
        <v/>
      </c>
      <c r="H21" s="2" t="str">
        <f>VLOOKUP(A21,[1]MasterSheet!$AR$10:$AY$209,8,0)</f>
        <v/>
      </c>
      <c r="I21" s="2" t="str">
        <f>VLOOKUP(A21,[1]MasterSheet!$AR$10:$BA$209,10,0)</f>
        <v/>
      </c>
      <c r="J21" s="2" t="str">
        <f>VLOOKUP(A21,[1]MasterSheet!$AR$10:$AT$209,3,0)</f>
        <v/>
      </c>
    </row>
    <row r="22" spans="1:10" ht="16" x14ac:dyDescent="0.4">
      <c r="A22" s="3" t="s">
        <v>28</v>
      </c>
      <c r="B22" s="4" t="s">
        <v>67</v>
      </c>
      <c r="C22" s="2" t="str">
        <f>VLOOKUP(A22,[1]MasterSheet!$AR$10:$AX$209,7,0)</f>
        <v/>
      </c>
      <c r="D22" s="2" t="str">
        <f>VLOOKUP(A22,[1]MasterSheet!$AR$10:$AV$209,5,0)</f>
        <v/>
      </c>
      <c r="E22" s="2">
        <f>VLOOKUP(A22,[1]MasterSheet!$AR$10:$AW$209,6,0)</f>
        <v>54</v>
      </c>
      <c r="F22" s="2" t="str">
        <f>VLOOKUP(A22,[1]MasterSheet!$AR$10:$AU$209,4,0)</f>
        <v/>
      </c>
      <c r="G22" s="2" t="str">
        <f>VLOOKUP(A22,[1]MasterSheet!$AR$10:$AZ$209,9,0)</f>
        <v/>
      </c>
      <c r="H22" s="2" t="str">
        <f>VLOOKUP(A22,[1]MasterSheet!$AR$10:$AY$209,8,0)</f>
        <v/>
      </c>
      <c r="I22" s="2" t="str">
        <f>VLOOKUP(A22,[1]MasterSheet!$AR$10:$BA$209,10,0)</f>
        <v/>
      </c>
      <c r="J22" s="2" t="str">
        <f>VLOOKUP(A22,[1]MasterSheet!$AR$10:$AT$209,3,0)</f>
        <v/>
      </c>
    </row>
    <row r="23" spans="1:10" ht="16" x14ac:dyDescent="0.4">
      <c r="A23" s="3" t="s">
        <v>29</v>
      </c>
      <c r="B23" s="4" t="s">
        <v>68</v>
      </c>
      <c r="C23" s="2" t="str">
        <f>VLOOKUP(A23,[1]MasterSheet!$AR$10:$AX$209,7,0)</f>
        <v/>
      </c>
      <c r="D23" s="2" t="str">
        <f>VLOOKUP(A23,[1]MasterSheet!$AR$10:$AV$209,5,0)</f>
        <v/>
      </c>
      <c r="E23" s="2">
        <f>VLOOKUP(A23,[1]MasterSheet!$AR$10:$AW$209,6,0)</f>
        <v>50</v>
      </c>
      <c r="F23" s="2" t="str">
        <f>VLOOKUP(A23,[1]MasterSheet!$AR$10:$AU$209,4,0)</f>
        <v/>
      </c>
      <c r="G23" s="2" t="str">
        <f>VLOOKUP(A23,[1]MasterSheet!$AR$10:$AZ$209,9,0)</f>
        <v/>
      </c>
      <c r="H23" s="2" t="str">
        <f>VLOOKUP(A23,[1]MasterSheet!$AR$10:$AY$209,8,0)</f>
        <v/>
      </c>
      <c r="I23" s="2" t="str">
        <f>VLOOKUP(A23,[1]MasterSheet!$AR$10:$BA$209,10,0)</f>
        <v/>
      </c>
      <c r="J23" s="2" t="str">
        <f>VLOOKUP(A23,[1]MasterSheet!$AR$10:$AT$209,3,0)</f>
        <v/>
      </c>
    </row>
    <row r="24" spans="1:10" ht="16" x14ac:dyDescent="0.4">
      <c r="A24" s="3" t="s">
        <v>30</v>
      </c>
      <c r="B24" s="4" t="s">
        <v>69</v>
      </c>
      <c r="C24" s="2" t="str">
        <f>VLOOKUP(A24,[1]MasterSheet!$AR$10:$AX$209,7,0)</f>
        <v/>
      </c>
      <c r="D24" s="2" t="str">
        <f>VLOOKUP(A24,[1]MasterSheet!$AR$10:$AV$209,5,0)</f>
        <v/>
      </c>
      <c r="E24" s="2">
        <f>VLOOKUP(A24,[1]MasterSheet!$AR$10:$AW$209,6,0)</f>
        <v>50</v>
      </c>
      <c r="F24" s="2" t="str">
        <f>VLOOKUP(A24,[1]MasterSheet!$AR$10:$AU$209,4,0)</f>
        <v/>
      </c>
      <c r="G24" s="2" t="str">
        <f>VLOOKUP(A24,[1]MasterSheet!$AR$10:$AZ$209,9,0)</f>
        <v/>
      </c>
      <c r="H24" s="2" t="str">
        <f>VLOOKUP(A24,[1]MasterSheet!$AR$10:$AY$209,8,0)</f>
        <v/>
      </c>
      <c r="I24" s="2" t="str">
        <f>VLOOKUP(A24,[1]MasterSheet!$AR$10:$BA$209,10,0)</f>
        <v/>
      </c>
      <c r="J24" s="2" t="str">
        <f>VLOOKUP(A24,[1]MasterSheet!$AR$10:$AT$209,3,0)</f>
        <v/>
      </c>
    </row>
    <row r="25" spans="1:10" ht="16" x14ac:dyDescent="0.4">
      <c r="A25" s="3" t="s">
        <v>31</v>
      </c>
      <c r="B25" s="4" t="s">
        <v>70</v>
      </c>
      <c r="C25" s="2" t="str">
        <f>VLOOKUP(A25,[1]MasterSheet!$AR$10:$AX$209,7,0)</f>
        <v/>
      </c>
      <c r="D25" s="2" t="str">
        <f>VLOOKUP(A25,[1]MasterSheet!$AR$10:$AV$209,5,0)</f>
        <v/>
      </c>
      <c r="E25" s="2">
        <f>VLOOKUP(A25,[1]MasterSheet!$AR$10:$AW$209,6,0)</f>
        <v>54</v>
      </c>
      <c r="F25" s="2" t="str">
        <f>VLOOKUP(A25,[1]MasterSheet!$AR$10:$AU$209,4,0)</f>
        <v/>
      </c>
      <c r="G25" s="2" t="str">
        <f>VLOOKUP(A25,[1]MasterSheet!$AR$10:$AZ$209,9,0)</f>
        <v/>
      </c>
      <c r="H25" s="2" t="str">
        <f>VLOOKUP(A25,[1]MasterSheet!$AR$10:$AY$209,8,0)</f>
        <v/>
      </c>
      <c r="I25" s="2" t="str">
        <f>VLOOKUP(A25,[1]MasterSheet!$AR$10:$BA$209,10,0)</f>
        <v/>
      </c>
      <c r="J25" s="2" t="str">
        <f>VLOOKUP(A25,[1]MasterSheet!$AR$10:$AT$209,3,0)</f>
        <v/>
      </c>
    </row>
    <row r="26" spans="1:10" ht="16" x14ac:dyDescent="0.4">
      <c r="A26" s="3" t="s">
        <v>32</v>
      </c>
      <c r="B26" s="4" t="s">
        <v>71</v>
      </c>
      <c r="C26" s="2">
        <f>VLOOKUP(A26,[1]MasterSheet!$AR$10:$AX$209,7,0)</f>
        <v>53</v>
      </c>
      <c r="D26" s="2" t="str">
        <f>VLOOKUP(A26,[1]MasterSheet!$AR$10:$AV$209,5,0)</f>
        <v/>
      </c>
      <c r="E26" s="2" t="str">
        <f>VLOOKUP(A26,[1]MasterSheet!$AR$10:$AW$209,6,0)</f>
        <v/>
      </c>
      <c r="F26" s="2" t="str">
        <f>VLOOKUP(A26,[1]MasterSheet!$AR$10:$AU$209,4,0)</f>
        <v/>
      </c>
      <c r="G26" s="2" t="str">
        <f>VLOOKUP(A26,[1]MasterSheet!$AR$10:$AZ$209,9,0)</f>
        <v/>
      </c>
      <c r="H26" s="2" t="str">
        <f>VLOOKUP(A26,[1]MasterSheet!$AR$10:$AY$209,8,0)</f>
        <v/>
      </c>
      <c r="I26" s="2" t="str">
        <f>VLOOKUP(A26,[1]MasterSheet!$AR$10:$BA$209,10,0)</f>
        <v/>
      </c>
      <c r="J26" s="2" t="str">
        <f>VLOOKUP(A26,[1]MasterSheet!$AR$10:$AT$209,3,0)</f>
        <v/>
      </c>
    </row>
    <row r="27" spans="1:10" ht="16" x14ac:dyDescent="0.4">
      <c r="A27" s="3" t="s">
        <v>33</v>
      </c>
      <c r="B27" s="4" t="s">
        <v>72</v>
      </c>
      <c r="C27" s="2">
        <f>VLOOKUP(A27,[1]MasterSheet!$AR$10:$AX$209,7,0)</f>
        <v>52</v>
      </c>
      <c r="D27" s="2" t="str">
        <f>VLOOKUP(A27,[1]MasterSheet!$AR$10:$AV$209,5,0)</f>
        <v/>
      </c>
      <c r="E27" s="2" t="str">
        <f>VLOOKUP(A27,[1]MasterSheet!$AR$10:$AW$209,6,0)</f>
        <v/>
      </c>
      <c r="F27" s="2" t="str">
        <f>VLOOKUP(A27,[1]MasterSheet!$AR$10:$AU$209,4,0)</f>
        <v/>
      </c>
      <c r="G27" s="2" t="str">
        <f>VLOOKUP(A27,[1]MasterSheet!$AR$10:$AZ$209,9,0)</f>
        <v/>
      </c>
      <c r="H27" s="2" t="str">
        <f>VLOOKUP(A27,[1]MasterSheet!$AR$10:$AY$209,8,0)</f>
        <v/>
      </c>
      <c r="I27" s="2" t="str">
        <f>VLOOKUP(A27,[1]MasterSheet!$AR$10:$BA$209,10,0)</f>
        <v/>
      </c>
      <c r="J27" s="2" t="str">
        <f>VLOOKUP(A27,[1]MasterSheet!$AR$10:$AT$209,3,0)</f>
        <v/>
      </c>
    </row>
    <row r="28" spans="1:10" ht="16" x14ac:dyDescent="0.4">
      <c r="A28" s="3" t="s">
        <v>34</v>
      </c>
      <c r="B28" s="4" t="s">
        <v>73</v>
      </c>
      <c r="C28" s="2">
        <f>VLOOKUP(A28,[1]MasterSheet!$AR$10:$AX$209,7,0)</f>
        <v>50</v>
      </c>
      <c r="D28" s="2" t="str">
        <f>VLOOKUP(A28,[1]MasterSheet!$AR$10:$AV$209,5,0)</f>
        <v/>
      </c>
      <c r="E28" s="2" t="str">
        <f>VLOOKUP(A28,[1]MasterSheet!$AR$10:$AW$209,6,0)</f>
        <v/>
      </c>
      <c r="F28" s="2" t="str">
        <f>VLOOKUP(A28,[1]MasterSheet!$AR$10:$AU$209,4,0)</f>
        <v/>
      </c>
      <c r="G28" s="2" t="str">
        <f>VLOOKUP(A28,[1]MasterSheet!$AR$10:$AZ$209,9,0)</f>
        <v/>
      </c>
      <c r="H28" s="2">
        <f>VLOOKUP(A28,[1]MasterSheet!$AR$10:$AY$209,8,0)</f>
        <v>51</v>
      </c>
      <c r="I28" s="2" t="str">
        <f>VLOOKUP(A28,[1]MasterSheet!$AR$10:$BA$209,10,0)</f>
        <v/>
      </c>
      <c r="J28" s="2" t="str">
        <f>VLOOKUP(A28,[1]MasterSheet!$AR$10:$AT$209,3,0)</f>
        <v/>
      </c>
    </row>
    <row r="29" spans="1:10" ht="16" x14ac:dyDescent="0.4">
      <c r="A29" s="3" t="s">
        <v>35</v>
      </c>
      <c r="B29" s="4" t="s">
        <v>74</v>
      </c>
      <c r="C29" s="2">
        <f>VLOOKUP(A29,[1]MasterSheet!$AR$10:$AX$209,7,0)</f>
        <v>54</v>
      </c>
      <c r="D29" s="2" t="str">
        <f>VLOOKUP(A29,[1]MasterSheet!$AR$10:$AV$209,5,0)</f>
        <v/>
      </c>
      <c r="E29" s="2" t="str">
        <f>VLOOKUP(A29,[1]MasterSheet!$AR$10:$AW$209,6,0)</f>
        <v/>
      </c>
      <c r="F29" s="2" t="str">
        <f>VLOOKUP(A29,[1]MasterSheet!$AR$10:$AU$209,4,0)</f>
        <v/>
      </c>
      <c r="G29" s="2" t="str">
        <f>VLOOKUP(A29,[1]MasterSheet!$AR$10:$AZ$209,9,0)</f>
        <v/>
      </c>
      <c r="H29" s="2" t="str">
        <f>VLOOKUP(A29,[1]MasterSheet!$AR$10:$AY$209,8,0)</f>
        <v/>
      </c>
      <c r="I29" s="2" t="str">
        <f>VLOOKUP(A29,[1]MasterSheet!$AR$10:$BA$209,10,0)</f>
        <v/>
      </c>
      <c r="J29" s="2" t="str">
        <f>VLOOKUP(A29,[1]MasterSheet!$AR$10:$AT$209,3,0)</f>
        <v/>
      </c>
    </row>
    <row r="30" spans="1:10" ht="16" x14ac:dyDescent="0.4">
      <c r="A30" s="3" t="s">
        <v>36</v>
      </c>
      <c r="B30" s="4" t="s">
        <v>75</v>
      </c>
      <c r="C30" s="2">
        <f>VLOOKUP(A30,[1]MasterSheet!$AR$10:$AX$209,7,0)</f>
        <v>54</v>
      </c>
      <c r="D30" s="2" t="str">
        <f>VLOOKUP(A30,[1]MasterSheet!$AR$10:$AV$209,5,0)</f>
        <v/>
      </c>
      <c r="E30" s="2" t="str">
        <f>VLOOKUP(A30,[1]MasterSheet!$AR$10:$AW$209,6,0)</f>
        <v/>
      </c>
      <c r="F30" s="2" t="str">
        <f>VLOOKUP(A30,[1]MasterSheet!$AR$10:$AU$209,4,0)</f>
        <v/>
      </c>
      <c r="G30" s="2">
        <f>VLOOKUP(A30,[1]MasterSheet!$AR$10:$AZ$209,9,0)</f>
        <v>54</v>
      </c>
      <c r="H30" s="2" t="str">
        <f>VLOOKUP(A30,[1]MasterSheet!$AR$10:$AY$209,8,0)</f>
        <v/>
      </c>
      <c r="I30" s="2" t="str">
        <f>VLOOKUP(A30,[1]MasterSheet!$AR$10:$BA$209,10,0)</f>
        <v/>
      </c>
      <c r="J30" s="2" t="str">
        <f>VLOOKUP(A30,[1]MasterSheet!$AR$10:$AT$209,3,0)</f>
        <v/>
      </c>
    </row>
    <row r="31" spans="1:10" ht="16" x14ac:dyDescent="0.4">
      <c r="A31" s="3" t="s">
        <v>37</v>
      </c>
      <c r="B31" s="4" t="s">
        <v>76</v>
      </c>
      <c r="C31" s="2">
        <f>VLOOKUP(A31,[1]MasterSheet!$AR$10:$AX$209,7,0)</f>
        <v>50</v>
      </c>
      <c r="D31" s="2" t="str">
        <f>VLOOKUP(A31,[1]MasterSheet!$AR$10:$AV$209,5,0)</f>
        <v/>
      </c>
      <c r="E31" s="2" t="str">
        <f>VLOOKUP(A31,[1]MasterSheet!$AR$10:$AW$209,6,0)</f>
        <v/>
      </c>
      <c r="F31" s="2" t="str">
        <f>VLOOKUP(A31,[1]MasterSheet!$AR$10:$AU$209,4,0)</f>
        <v/>
      </c>
      <c r="G31" s="2" t="str">
        <f>VLOOKUP(A31,[1]MasterSheet!$AR$10:$AZ$209,9,0)</f>
        <v/>
      </c>
      <c r="H31" s="2">
        <f>VLOOKUP(A31,[1]MasterSheet!$AR$10:$AY$209,8,0)</f>
        <v>52</v>
      </c>
      <c r="I31" s="2" t="str">
        <f>VLOOKUP(A31,[1]MasterSheet!$AR$10:$BA$209,10,0)</f>
        <v/>
      </c>
      <c r="J31" s="2" t="str">
        <f>VLOOKUP(A31,[1]MasterSheet!$AR$10:$AT$209,3,0)</f>
        <v/>
      </c>
    </row>
    <row r="32" spans="1:10" ht="16" x14ac:dyDescent="0.4">
      <c r="A32" s="3" t="s">
        <v>38</v>
      </c>
      <c r="B32" s="4" t="s">
        <v>77</v>
      </c>
      <c r="C32" s="2">
        <f>VLOOKUP(A32,[1]MasterSheet!$AR$10:$AX$209,7,0)</f>
        <v>53</v>
      </c>
      <c r="D32" s="2" t="str">
        <f>VLOOKUP(A32,[1]MasterSheet!$AR$10:$AV$209,5,0)</f>
        <v/>
      </c>
      <c r="E32" s="2" t="str">
        <f>VLOOKUP(A32,[1]MasterSheet!$AR$10:$AW$209,6,0)</f>
        <v/>
      </c>
      <c r="F32" s="2" t="str">
        <f>VLOOKUP(A32,[1]MasterSheet!$AR$10:$AU$209,4,0)</f>
        <v/>
      </c>
      <c r="G32" s="2" t="str">
        <f>VLOOKUP(A32,[1]MasterSheet!$AR$10:$AZ$209,9,0)</f>
        <v/>
      </c>
      <c r="H32" s="2" t="str">
        <f>VLOOKUP(A32,[1]MasterSheet!$AR$10:$AY$209,8,0)</f>
        <v/>
      </c>
      <c r="I32" s="2" t="str">
        <f>VLOOKUP(A32,[1]MasterSheet!$AR$10:$BA$209,10,0)</f>
        <v/>
      </c>
      <c r="J32" s="2" t="str">
        <f>VLOOKUP(A32,[1]MasterSheet!$AR$10:$AT$209,3,0)</f>
        <v/>
      </c>
    </row>
    <row r="33" spans="1:10" ht="16" x14ac:dyDescent="0.4">
      <c r="A33" s="3" t="s">
        <v>39</v>
      </c>
      <c r="B33" s="4" t="s">
        <v>78</v>
      </c>
      <c r="C33" s="2">
        <f>VLOOKUP(A33,[1]MasterSheet!$AR$10:$AX$209,7,0)</f>
        <v>52</v>
      </c>
      <c r="D33" s="2" t="str">
        <f>VLOOKUP(A33,[1]MasterSheet!$AR$10:$AV$209,5,0)</f>
        <v/>
      </c>
      <c r="E33" s="2" t="str">
        <f>VLOOKUP(A33,[1]MasterSheet!$AR$10:$AW$209,6,0)</f>
        <v/>
      </c>
      <c r="F33" s="2" t="str">
        <f>VLOOKUP(A33,[1]MasterSheet!$AR$10:$AU$209,4,0)</f>
        <v/>
      </c>
      <c r="G33" s="2" t="str">
        <f>VLOOKUP(A33,[1]MasterSheet!$AR$10:$AZ$209,9,0)</f>
        <v/>
      </c>
      <c r="H33" s="2" t="str">
        <f>VLOOKUP(A33,[1]MasterSheet!$AR$10:$AY$209,8,0)</f>
        <v/>
      </c>
      <c r="I33" s="2" t="str">
        <f>VLOOKUP(A33,[1]MasterSheet!$AR$10:$BA$209,10,0)</f>
        <v/>
      </c>
      <c r="J33" s="2" t="str">
        <f>VLOOKUP(A33,[1]MasterSheet!$AR$10:$AT$209,3,0)</f>
        <v/>
      </c>
    </row>
    <row r="34" spans="1:10" ht="16" x14ac:dyDescent="0.4">
      <c r="A34" s="3" t="s">
        <v>40</v>
      </c>
      <c r="B34" s="4" t="s">
        <v>79</v>
      </c>
      <c r="C34" s="2">
        <f>VLOOKUP(A34,[1]MasterSheet!$AR$10:$AX$209,7,0)</f>
        <v>54</v>
      </c>
      <c r="D34" s="2" t="str">
        <f>VLOOKUP(A34,[1]MasterSheet!$AR$10:$AV$209,5,0)</f>
        <v/>
      </c>
      <c r="E34" s="2" t="str">
        <f>VLOOKUP(A34,[1]MasterSheet!$AR$10:$AW$209,6,0)</f>
        <v/>
      </c>
      <c r="F34" s="2" t="str">
        <f>VLOOKUP(A34,[1]MasterSheet!$AR$10:$AU$209,4,0)</f>
        <v/>
      </c>
      <c r="G34" s="2" t="str">
        <f>VLOOKUP(A34,[1]MasterSheet!$AR$10:$AZ$209,9,0)</f>
        <v/>
      </c>
      <c r="H34" s="2">
        <f>VLOOKUP(A34,[1]MasterSheet!$AR$10:$AY$209,8,0)</f>
        <v>50</v>
      </c>
      <c r="I34" s="2" t="str">
        <f>VLOOKUP(A34,[1]MasterSheet!$AR$10:$BA$209,10,0)</f>
        <v/>
      </c>
      <c r="J34" s="2" t="str">
        <f>VLOOKUP(A34,[1]MasterSheet!$AR$10:$AT$209,3,0)</f>
        <v/>
      </c>
    </row>
    <row r="35" spans="1:10" ht="16" x14ac:dyDescent="0.4">
      <c r="A35" s="3" t="s">
        <v>41</v>
      </c>
      <c r="B35" s="4" t="s">
        <v>80</v>
      </c>
      <c r="C35" s="2">
        <f>VLOOKUP(A35,[1]MasterSheet!$AR$10:$AX$209,7,0)</f>
        <v>52</v>
      </c>
      <c r="D35" s="2" t="str">
        <f>VLOOKUP(A35,[1]MasterSheet!$AR$10:$AV$209,5,0)</f>
        <v/>
      </c>
      <c r="E35" s="2" t="str">
        <f>VLOOKUP(A35,[1]MasterSheet!$AR$10:$AW$209,6,0)</f>
        <v/>
      </c>
      <c r="F35" s="2" t="str">
        <f>VLOOKUP(A35,[1]MasterSheet!$AR$10:$AU$209,4,0)</f>
        <v/>
      </c>
      <c r="G35" s="2" t="str">
        <f>VLOOKUP(A35,[1]MasterSheet!$AR$10:$AZ$209,9,0)</f>
        <v/>
      </c>
      <c r="H35" s="2">
        <f>VLOOKUP(A35,[1]MasterSheet!$AR$10:$AY$209,8,0)</f>
        <v>54</v>
      </c>
      <c r="I35" s="2" t="str">
        <f>VLOOKUP(A35,[1]MasterSheet!$AR$10:$BA$209,10,0)</f>
        <v/>
      </c>
      <c r="J35" s="2" t="str">
        <f>VLOOKUP(A35,[1]MasterSheet!$AR$10:$AT$209,3,0)</f>
        <v/>
      </c>
    </row>
    <row r="36" spans="1:10" ht="16" x14ac:dyDescent="0.4">
      <c r="A36" s="3" t="s">
        <v>42</v>
      </c>
      <c r="B36" s="4" t="s">
        <v>81</v>
      </c>
      <c r="C36" s="2">
        <f>VLOOKUP(A36,[1]MasterSheet!$AR$10:$AX$209,7,0)</f>
        <v>54</v>
      </c>
      <c r="D36" s="2" t="str">
        <f>VLOOKUP(A36,[1]MasterSheet!$AR$10:$AV$209,5,0)</f>
        <v/>
      </c>
      <c r="E36" s="2" t="str">
        <f>VLOOKUP(A36,[1]MasterSheet!$AR$10:$AW$209,6,0)</f>
        <v/>
      </c>
      <c r="F36" s="2" t="str">
        <f>VLOOKUP(A36,[1]MasterSheet!$AR$10:$AU$209,4,0)</f>
        <v/>
      </c>
      <c r="G36" s="2" t="str">
        <f>VLOOKUP(A36,[1]MasterSheet!$AR$10:$AZ$209,9,0)</f>
        <v/>
      </c>
      <c r="H36" s="2" t="str">
        <f>VLOOKUP(A36,[1]MasterSheet!$AR$10:$AY$209,8,0)</f>
        <v/>
      </c>
      <c r="I36" s="2" t="str">
        <f>VLOOKUP(A36,[1]MasterSheet!$AR$10:$BA$209,10,0)</f>
        <v/>
      </c>
      <c r="J36" s="2" t="str">
        <f>VLOOKUP(A36,[1]MasterSheet!$AR$10:$AT$209,3,0)</f>
        <v/>
      </c>
    </row>
    <row r="37" spans="1:10" ht="16" x14ac:dyDescent="0.4">
      <c r="A37" s="3" t="s">
        <v>43</v>
      </c>
      <c r="B37" s="4" t="s">
        <v>82</v>
      </c>
      <c r="C37" s="2" t="str">
        <f>VLOOKUP(A37,[1]MasterSheet!$AR$10:$AX$209,7,0)</f>
        <v/>
      </c>
      <c r="D37" s="2" t="str">
        <f>VLOOKUP(A37,[1]MasterSheet!$AR$10:$AV$209,5,0)</f>
        <v/>
      </c>
      <c r="E37" s="2" t="str">
        <f>VLOOKUP(A37,[1]MasterSheet!$AR$10:$AW$209,6,0)</f>
        <v/>
      </c>
      <c r="F37" s="2" t="str">
        <f>VLOOKUP(A37,[1]MasterSheet!$AR$10:$AU$209,4,0)</f>
        <v/>
      </c>
      <c r="G37" s="2" t="str">
        <f>VLOOKUP(A37,[1]MasterSheet!$AR$10:$AZ$209,9,0)</f>
        <v/>
      </c>
      <c r="H37" s="2">
        <f>VLOOKUP(A37,[1]MasterSheet!$AR$10:$AY$209,8,0)</f>
        <v>52</v>
      </c>
      <c r="I37" s="2" t="str">
        <f>VLOOKUP(A37,[1]MasterSheet!$AR$10:$BA$209,10,0)</f>
        <v/>
      </c>
      <c r="J37" s="2" t="str">
        <f>VLOOKUP(A37,[1]MasterSheet!$AR$10:$AT$209,3,0)</f>
        <v/>
      </c>
    </row>
    <row r="38" spans="1:10" ht="16" x14ac:dyDescent="0.4">
      <c r="A38" s="3" t="s">
        <v>44</v>
      </c>
      <c r="B38" s="4" t="s">
        <v>83</v>
      </c>
      <c r="C38" s="2" t="str">
        <f>VLOOKUP(A38,[1]MasterSheet!$AR$10:$AX$209,7,0)</f>
        <v/>
      </c>
      <c r="D38" s="2" t="str">
        <f>VLOOKUP(A38,[1]MasterSheet!$AR$10:$AV$209,5,0)</f>
        <v/>
      </c>
      <c r="E38" s="2" t="str">
        <f>VLOOKUP(A38,[1]MasterSheet!$AR$10:$AW$209,6,0)</f>
        <v/>
      </c>
      <c r="F38" s="2" t="str">
        <f>VLOOKUP(A38,[1]MasterSheet!$AR$10:$AU$209,4,0)</f>
        <v/>
      </c>
      <c r="G38" s="2" t="str">
        <f>VLOOKUP(A38,[1]MasterSheet!$AR$10:$AZ$209,9,0)</f>
        <v/>
      </c>
      <c r="H38" s="2">
        <f>VLOOKUP(A38,[1]MasterSheet!$AR$10:$AY$209,8,0)</f>
        <v>53</v>
      </c>
      <c r="I38" s="2" t="str">
        <f>VLOOKUP(A38,[1]MasterSheet!$AR$10:$BA$209,10,0)</f>
        <v/>
      </c>
      <c r="J38" s="2" t="str">
        <f>VLOOKUP(A38,[1]MasterSheet!$AR$10:$AT$209,3,0)</f>
        <v/>
      </c>
    </row>
    <row r="39" spans="1:10" ht="16" x14ac:dyDescent="0.4">
      <c r="A39" s="5" t="s">
        <v>45</v>
      </c>
      <c r="B39" s="4" t="s">
        <v>46</v>
      </c>
      <c r="C39" s="2" t="str">
        <f>VLOOKUP(A39,[1]MasterSheet!$AR$10:$AX$209,7,0)</f>
        <v/>
      </c>
      <c r="D39" s="2" t="str">
        <f>VLOOKUP(A39,[1]MasterSheet!$AR$10:$AV$209,5,0)</f>
        <v/>
      </c>
      <c r="E39" s="2" t="str">
        <f>VLOOKUP(A39,[1]MasterSheet!$AR$10:$AW$209,6,0)</f>
        <v/>
      </c>
      <c r="F39" s="2" t="str">
        <f>VLOOKUP(A39,[1]MasterSheet!$AR$10:$AU$209,4,0)</f>
        <v/>
      </c>
      <c r="G39" s="2" t="str">
        <f>VLOOKUP(A39,[1]MasterSheet!$AR$10:$AZ$209,9,0)</f>
        <v/>
      </c>
      <c r="H39" s="2" t="str">
        <f>VLOOKUP(A39,[1]MasterSheet!$AR$10:$AY$209,8,0)</f>
        <v/>
      </c>
      <c r="I39" s="2">
        <f>VLOOKUP(A39,[1]MasterSheet!$AR$10:$BA$209,10,0)</f>
        <v>51</v>
      </c>
      <c r="J39" s="2">
        <f>VLOOKUP(A39,[1]MasterSheet!$AR$10:$AT$209,3,0)</f>
        <v>59</v>
      </c>
    </row>
    <row r="40" spans="1:10" ht="16" x14ac:dyDescent="0.4">
      <c r="A40" s="6"/>
      <c r="B40" s="4"/>
    </row>
    <row r="41" spans="1:10" ht="16" x14ac:dyDescent="0.4">
      <c r="A41" s="6"/>
      <c r="B41" s="4"/>
    </row>
    <row r="42" spans="1:10" ht="16" x14ac:dyDescent="0.4">
      <c r="A42" s="6"/>
      <c r="B42" s="4"/>
    </row>
    <row r="43" spans="1:10" ht="16" x14ac:dyDescent="0.4">
      <c r="A43" s="6"/>
      <c r="B43" s="4"/>
    </row>
    <row r="44" spans="1:10" ht="16" x14ac:dyDescent="0.4">
      <c r="A44" s="6"/>
      <c r="B44" s="4"/>
    </row>
    <row r="45" spans="1:10" ht="16" x14ac:dyDescent="0.4">
      <c r="A45" s="6"/>
      <c r="B45" s="4"/>
    </row>
    <row r="46" spans="1:10" ht="16" x14ac:dyDescent="0.4">
      <c r="A46" s="6"/>
      <c r="B46" s="4"/>
    </row>
    <row r="47" spans="1:10" ht="16" x14ac:dyDescent="0.4">
      <c r="A47" s="6"/>
      <c r="B47" s="4"/>
    </row>
    <row r="48" spans="1:10" ht="16" x14ac:dyDescent="0.4">
      <c r="A48" s="6"/>
      <c r="B48" s="4"/>
    </row>
    <row r="49" spans="1:2" ht="16" x14ac:dyDescent="0.4">
      <c r="A49" s="6"/>
      <c r="B49" s="4"/>
    </row>
    <row r="50" spans="1:2" ht="16" x14ac:dyDescent="0.4">
      <c r="A50" s="6"/>
      <c r="B50" s="4"/>
    </row>
    <row r="51" spans="1:2" ht="16" x14ac:dyDescent="0.4">
      <c r="A51" s="6"/>
      <c r="B51" s="4"/>
    </row>
    <row r="52" spans="1:2" ht="16" x14ac:dyDescent="0.4">
      <c r="A52" s="6"/>
      <c r="B52" s="4"/>
    </row>
    <row r="53" spans="1:2" ht="16" x14ac:dyDescent="0.4">
      <c r="A53" s="6"/>
      <c r="B53" s="4"/>
    </row>
    <row r="54" spans="1:2" ht="16" x14ac:dyDescent="0.4">
      <c r="A54" s="6"/>
      <c r="B54" s="4"/>
    </row>
    <row r="55" spans="1:2" ht="16" x14ac:dyDescent="0.4">
      <c r="A55" s="6"/>
      <c r="B55" s="4"/>
    </row>
    <row r="56" spans="1:2" ht="16" x14ac:dyDescent="0.4">
      <c r="A56" s="6"/>
      <c r="B56" s="4"/>
    </row>
    <row r="57" spans="1:2" ht="16" x14ac:dyDescent="0.4">
      <c r="A57" s="6"/>
      <c r="B57" s="4"/>
    </row>
    <row r="58" spans="1:2" ht="16" x14ac:dyDescent="0.4">
      <c r="A58" s="6"/>
      <c r="B58" s="4"/>
    </row>
    <row r="59" spans="1:2" ht="16" x14ac:dyDescent="0.4">
      <c r="A59" s="6"/>
      <c r="B59" s="4"/>
    </row>
    <row r="60" spans="1:2" ht="16" x14ac:dyDescent="0.4">
      <c r="A60" s="6"/>
      <c r="B60" s="4"/>
    </row>
    <row r="61" spans="1:2" ht="16" x14ac:dyDescent="0.4">
      <c r="A61" s="6"/>
      <c r="B61" s="4"/>
    </row>
    <row r="62" spans="1:2" ht="16" x14ac:dyDescent="0.4">
      <c r="A62" s="6"/>
      <c r="B62" s="4"/>
    </row>
    <row r="63" spans="1:2" ht="16" x14ac:dyDescent="0.4">
      <c r="A63" s="6"/>
      <c r="B63" s="4"/>
    </row>
    <row r="64" spans="1:2" ht="16" x14ac:dyDescent="0.4">
      <c r="A64" s="6"/>
      <c r="B64" s="4"/>
    </row>
    <row r="65" spans="1:2" ht="16" x14ac:dyDescent="0.4">
      <c r="A65" s="6"/>
      <c r="B65" s="4"/>
    </row>
    <row r="66" spans="1:2" ht="16" x14ac:dyDescent="0.4">
      <c r="A66" s="6"/>
      <c r="B66" s="4"/>
    </row>
    <row r="67" spans="1:2" ht="16" x14ac:dyDescent="0.4">
      <c r="A67" s="6"/>
      <c r="B67" s="4"/>
    </row>
    <row r="68" spans="1:2" ht="16" x14ac:dyDescent="0.4">
      <c r="A68" s="6"/>
      <c r="B68" s="4"/>
    </row>
    <row r="69" spans="1:2" ht="16" x14ac:dyDescent="0.4">
      <c r="A69" s="6"/>
      <c r="B69" s="4"/>
    </row>
    <row r="70" spans="1:2" ht="16" x14ac:dyDescent="0.4">
      <c r="A70" s="6"/>
      <c r="B70" s="4"/>
    </row>
    <row r="71" spans="1:2" ht="16" x14ac:dyDescent="0.4">
      <c r="A71" s="6"/>
      <c r="B71" s="4"/>
    </row>
    <row r="72" spans="1:2" ht="16" x14ac:dyDescent="0.4">
      <c r="A72" s="6"/>
      <c r="B72" s="4"/>
    </row>
    <row r="73" spans="1:2" ht="16" x14ac:dyDescent="0.4">
      <c r="A73" s="6"/>
      <c r="B73" s="4"/>
    </row>
    <row r="74" spans="1:2" ht="16" x14ac:dyDescent="0.4">
      <c r="A74" s="6"/>
      <c r="B74" s="4"/>
    </row>
    <row r="75" spans="1:2" ht="16" x14ac:dyDescent="0.4">
      <c r="A75" s="6"/>
      <c r="B75" s="4"/>
    </row>
    <row r="76" spans="1:2" ht="16" x14ac:dyDescent="0.4">
      <c r="A76" s="6"/>
      <c r="B76" s="4"/>
    </row>
    <row r="77" spans="1:2" ht="16" x14ac:dyDescent="0.4">
      <c r="A77" s="6"/>
      <c r="B77" s="4"/>
    </row>
    <row r="78" spans="1:2" ht="16" x14ac:dyDescent="0.4">
      <c r="A78" s="6"/>
      <c r="B78" s="4"/>
    </row>
    <row r="79" spans="1:2" ht="16" x14ac:dyDescent="0.4">
      <c r="A79" s="6"/>
      <c r="B79" s="4"/>
    </row>
    <row r="80" spans="1:2" ht="16" x14ac:dyDescent="0.4">
      <c r="A80" s="6"/>
      <c r="B80" s="4"/>
    </row>
    <row r="81" spans="1:2" ht="16" x14ac:dyDescent="0.4">
      <c r="A81" s="6"/>
      <c r="B81" s="4"/>
    </row>
    <row r="82" spans="1:2" ht="16" x14ac:dyDescent="0.4">
      <c r="A82" s="6"/>
      <c r="B82" s="4"/>
    </row>
    <row r="83" spans="1:2" ht="16" x14ac:dyDescent="0.4">
      <c r="A83" s="6"/>
      <c r="B83" s="4"/>
    </row>
    <row r="84" spans="1:2" ht="16" x14ac:dyDescent="0.4">
      <c r="A84" s="6"/>
      <c r="B84" s="4"/>
    </row>
    <row r="85" spans="1:2" ht="16" x14ac:dyDescent="0.4">
      <c r="A85" s="6"/>
      <c r="B85" s="4"/>
    </row>
    <row r="86" spans="1:2" ht="16" x14ac:dyDescent="0.4">
      <c r="A86" s="6"/>
      <c r="B86" s="4"/>
    </row>
    <row r="87" spans="1:2" ht="16" x14ac:dyDescent="0.4">
      <c r="A87" s="6"/>
      <c r="B87" s="4"/>
    </row>
    <row r="88" spans="1:2" ht="16" x14ac:dyDescent="0.4">
      <c r="A88" s="6"/>
      <c r="B88" s="4"/>
    </row>
    <row r="89" spans="1:2" ht="16" x14ac:dyDescent="0.4">
      <c r="A89" s="6"/>
      <c r="B89" s="4"/>
    </row>
    <row r="90" spans="1:2" ht="16" x14ac:dyDescent="0.4">
      <c r="A90" s="6"/>
      <c r="B90" s="4"/>
    </row>
    <row r="91" spans="1:2" ht="16" x14ac:dyDescent="0.4">
      <c r="A91" s="6"/>
      <c r="B91" s="4"/>
    </row>
    <row r="92" spans="1:2" ht="16" x14ac:dyDescent="0.4">
      <c r="A92" s="6"/>
      <c r="B92" s="4"/>
    </row>
    <row r="93" spans="1:2" ht="16" x14ac:dyDescent="0.4">
      <c r="A93" s="6"/>
      <c r="B93" s="4"/>
    </row>
    <row r="94" spans="1:2" ht="16" x14ac:dyDescent="0.4">
      <c r="A94" s="6"/>
      <c r="B94" s="4"/>
    </row>
    <row r="95" spans="1:2" ht="16" x14ac:dyDescent="0.4">
      <c r="A95" s="6"/>
      <c r="B95" s="4"/>
    </row>
    <row r="96" spans="1:2" ht="16" x14ac:dyDescent="0.4">
      <c r="A96" s="6"/>
      <c r="B96" s="4"/>
    </row>
    <row r="97" spans="1:2" ht="16" x14ac:dyDescent="0.4">
      <c r="A97" s="6"/>
      <c r="B97" s="4"/>
    </row>
    <row r="98" spans="1:2" ht="16" x14ac:dyDescent="0.4">
      <c r="A98" s="6"/>
      <c r="B98" s="4"/>
    </row>
    <row r="99" spans="1:2" ht="16" x14ac:dyDescent="0.4">
      <c r="A99" s="6"/>
      <c r="B99" s="4"/>
    </row>
    <row r="100" spans="1:2" ht="16" x14ac:dyDescent="0.4">
      <c r="A100" s="6"/>
      <c r="B100" s="4"/>
    </row>
    <row r="101" spans="1:2" ht="16" x14ac:dyDescent="0.4">
      <c r="A101" s="6"/>
      <c r="B101" s="4"/>
    </row>
    <row r="102" spans="1:2" ht="16" x14ac:dyDescent="0.4">
      <c r="A102" s="6"/>
      <c r="B102" s="4"/>
    </row>
    <row r="103" spans="1:2" ht="16" x14ac:dyDescent="0.4">
      <c r="A103" s="6"/>
      <c r="B103" s="4"/>
    </row>
    <row r="104" spans="1:2" ht="16" x14ac:dyDescent="0.4">
      <c r="A104" s="6"/>
      <c r="B104" s="4"/>
    </row>
    <row r="105" spans="1:2" ht="16" x14ac:dyDescent="0.4">
      <c r="A105" s="6"/>
      <c r="B105" s="4"/>
    </row>
    <row r="106" spans="1:2" ht="16" x14ac:dyDescent="0.4">
      <c r="A106" s="6"/>
      <c r="B106" s="4"/>
    </row>
    <row r="107" spans="1:2" ht="16" x14ac:dyDescent="0.4">
      <c r="A107" s="6"/>
      <c r="B107" s="4"/>
    </row>
    <row r="108" spans="1:2" ht="16" x14ac:dyDescent="0.4">
      <c r="A108" s="6"/>
      <c r="B108" s="4"/>
    </row>
    <row r="109" spans="1:2" ht="16" x14ac:dyDescent="0.4">
      <c r="A109" s="6"/>
      <c r="B109" s="4"/>
    </row>
    <row r="110" spans="1:2" ht="16" x14ac:dyDescent="0.4">
      <c r="A110" s="6"/>
      <c r="B110" s="4"/>
    </row>
    <row r="111" spans="1:2" ht="16" x14ac:dyDescent="0.4">
      <c r="A111" s="6"/>
      <c r="B111" s="4"/>
    </row>
    <row r="112" spans="1:2" ht="16" x14ac:dyDescent="0.4">
      <c r="A112" s="6"/>
      <c r="B112" s="4"/>
    </row>
    <row r="113" spans="1:2" ht="16" x14ac:dyDescent="0.4">
      <c r="A113" s="6"/>
      <c r="B113" s="4"/>
    </row>
    <row r="114" spans="1:2" ht="16" x14ac:dyDescent="0.4">
      <c r="A114" s="6"/>
      <c r="B114" s="4"/>
    </row>
    <row r="115" spans="1:2" ht="16" x14ac:dyDescent="0.4">
      <c r="A115" s="6"/>
      <c r="B115" s="4"/>
    </row>
    <row r="116" spans="1:2" ht="16" x14ac:dyDescent="0.4">
      <c r="A116" s="6"/>
      <c r="B116" s="4"/>
    </row>
    <row r="117" spans="1:2" ht="16" x14ac:dyDescent="0.4">
      <c r="A117" s="6"/>
      <c r="B117" s="4"/>
    </row>
    <row r="118" spans="1:2" ht="16" x14ac:dyDescent="0.4">
      <c r="A118" s="6"/>
      <c r="B118" s="4"/>
    </row>
    <row r="119" spans="1:2" ht="16" x14ac:dyDescent="0.4">
      <c r="A119" s="6"/>
      <c r="B119" s="4"/>
    </row>
    <row r="120" spans="1:2" ht="16" x14ac:dyDescent="0.4">
      <c r="A120" s="6"/>
      <c r="B120" s="4"/>
    </row>
    <row r="121" spans="1:2" ht="16" x14ac:dyDescent="0.4">
      <c r="A121" s="6"/>
      <c r="B121" s="4"/>
    </row>
    <row r="122" spans="1:2" ht="16" x14ac:dyDescent="0.4">
      <c r="A122" s="6"/>
      <c r="B122" s="4"/>
    </row>
    <row r="123" spans="1:2" ht="16" x14ac:dyDescent="0.4">
      <c r="A123" s="6"/>
      <c r="B123" s="4"/>
    </row>
    <row r="124" spans="1:2" ht="16" x14ac:dyDescent="0.4">
      <c r="A124" s="6"/>
      <c r="B124" s="4"/>
    </row>
    <row r="125" spans="1:2" ht="16" x14ac:dyDescent="0.4">
      <c r="A125" s="6"/>
      <c r="B125" s="4"/>
    </row>
    <row r="126" spans="1:2" ht="16" x14ac:dyDescent="0.4">
      <c r="A126" s="6"/>
      <c r="B126" s="4"/>
    </row>
    <row r="127" spans="1:2" ht="16" x14ac:dyDescent="0.4">
      <c r="A127" s="6"/>
      <c r="B127" s="4"/>
    </row>
    <row r="128" spans="1:2" ht="16" x14ac:dyDescent="0.4">
      <c r="A128" s="6"/>
      <c r="B128" s="4"/>
    </row>
    <row r="129" spans="1:2" ht="16" x14ac:dyDescent="0.4">
      <c r="A129" s="6"/>
      <c r="B129" s="4"/>
    </row>
    <row r="130" spans="1:2" ht="16" x14ac:dyDescent="0.4">
      <c r="A130" s="6"/>
      <c r="B130" s="4"/>
    </row>
    <row r="131" spans="1:2" ht="16" x14ac:dyDescent="0.4">
      <c r="A131" s="6"/>
      <c r="B131" s="4"/>
    </row>
    <row r="132" spans="1:2" ht="16" x14ac:dyDescent="0.4">
      <c r="A132" s="6"/>
      <c r="B132" s="4"/>
    </row>
    <row r="133" spans="1:2" ht="16" x14ac:dyDescent="0.4">
      <c r="A133" s="6"/>
      <c r="B133" s="4"/>
    </row>
    <row r="134" spans="1:2" ht="16" x14ac:dyDescent="0.4">
      <c r="A134" s="6"/>
      <c r="B134" s="4"/>
    </row>
    <row r="135" spans="1:2" ht="16" x14ac:dyDescent="0.4">
      <c r="A135" s="6"/>
      <c r="B135" s="4"/>
    </row>
    <row r="136" spans="1:2" ht="16" x14ac:dyDescent="0.4">
      <c r="A136" s="6"/>
      <c r="B136" s="4"/>
    </row>
    <row r="137" spans="1:2" ht="16" x14ac:dyDescent="0.4">
      <c r="A137" s="6"/>
      <c r="B137" s="4"/>
    </row>
    <row r="138" spans="1:2" ht="16" x14ac:dyDescent="0.4">
      <c r="A138" s="6"/>
      <c r="B138" s="4"/>
    </row>
    <row r="139" spans="1:2" ht="16" x14ac:dyDescent="0.4">
      <c r="A139" s="6"/>
      <c r="B139" s="4"/>
    </row>
    <row r="140" spans="1:2" ht="16" x14ac:dyDescent="0.4">
      <c r="A140" s="6"/>
      <c r="B140" s="4"/>
    </row>
    <row r="141" spans="1:2" ht="16" x14ac:dyDescent="0.4">
      <c r="A141" s="6"/>
      <c r="B141" s="4"/>
    </row>
    <row r="142" spans="1:2" ht="16" x14ac:dyDescent="0.4">
      <c r="A142" s="6"/>
      <c r="B142" s="4"/>
    </row>
    <row r="143" spans="1:2" ht="16" x14ac:dyDescent="0.4">
      <c r="A143" s="6"/>
      <c r="B143" s="4"/>
    </row>
    <row r="144" spans="1:2" ht="16" x14ac:dyDescent="0.4">
      <c r="A144" s="6"/>
      <c r="B144" s="4"/>
    </row>
    <row r="145" spans="1:2" ht="16" x14ac:dyDescent="0.4">
      <c r="A145" s="6"/>
      <c r="B145" s="4"/>
    </row>
    <row r="146" spans="1:2" ht="16" x14ac:dyDescent="0.4">
      <c r="A146" s="6"/>
      <c r="B146" s="4"/>
    </row>
    <row r="147" spans="1:2" ht="16" x14ac:dyDescent="0.4">
      <c r="A147" s="6"/>
      <c r="B147" s="4"/>
    </row>
    <row r="148" spans="1:2" ht="16" x14ac:dyDescent="0.4">
      <c r="A148" s="6"/>
      <c r="B148" s="4"/>
    </row>
    <row r="149" spans="1:2" ht="16" x14ac:dyDescent="0.4">
      <c r="A149" s="6"/>
      <c r="B149" s="4"/>
    </row>
    <row r="150" spans="1:2" ht="16" x14ac:dyDescent="0.4">
      <c r="A150" s="6"/>
      <c r="B150" s="4"/>
    </row>
    <row r="151" spans="1:2" ht="16" x14ac:dyDescent="0.4">
      <c r="A151" s="6"/>
      <c r="B151" s="4"/>
    </row>
    <row r="152" spans="1:2" ht="16" x14ac:dyDescent="0.4">
      <c r="A152" s="6"/>
      <c r="B152" s="4"/>
    </row>
    <row r="153" spans="1:2" ht="16" x14ac:dyDescent="0.4">
      <c r="A153" s="6"/>
      <c r="B153" s="4"/>
    </row>
    <row r="154" spans="1:2" ht="16" x14ac:dyDescent="0.4">
      <c r="A154" s="6"/>
      <c r="B154" s="4"/>
    </row>
    <row r="155" spans="1:2" ht="16" x14ac:dyDescent="0.4">
      <c r="A155" s="6"/>
      <c r="B155" s="4"/>
    </row>
    <row r="156" spans="1:2" ht="16" x14ac:dyDescent="0.4">
      <c r="A156" s="6"/>
      <c r="B156" s="4"/>
    </row>
    <row r="157" spans="1:2" ht="16" x14ac:dyDescent="0.4">
      <c r="A157" s="6"/>
      <c r="B157" s="4"/>
    </row>
    <row r="158" spans="1:2" ht="16" x14ac:dyDescent="0.4">
      <c r="A158" s="6"/>
      <c r="B158" s="4"/>
    </row>
    <row r="159" spans="1:2" ht="16" x14ac:dyDescent="0.4">
      <c r="A159" s="6"/>
      <c r="B159" s="4"/>
    </row>
    <row r="160" spans="1:2" ht="16" x14ac:dyDescent="0.4">
      <c r="A160" s="6"/>
      <c r="B160" s="4"/>
    </row>
    <row r="161" spans="1:2" ht="16" x14ac:dyDescent="0.4">
      <c r="A161" s="6"/>
      <c r="B161" s="4"/>
    </row>
    <row r="162" spans="1:2" ht="16" x14ac:dyDescent="0.4">
      <c r="A162" s="6"/>
      <c r="B162" s="4"/>
    </row>
    <row r="163" spans="1:2" ht="16" x14ac:dyDescent="0.4">
      <c r="A163" s="6"/>
      <c r="B163" s="4"/>
    </row>
    <row r="164" spans="1:2" ht="16" x14ac:dyDescent="0.4">
      <c r="A164" s="6"/>
      <c r="B164" s="4"/>
    </row>
    <row r="165" spans="1:2" ht="16" x14ac:dyDescent="0.4">
      <c r="A165" s="6"/>
      <c r="B165" s="4"/>
    </row>
    <row r="166" spans="1:2" ht="16" x14ac:dyDescent="0.4">
      <c r="A166" s="6"/>
      <c r="B166" s="4"/>
    </row>
    <row r="167" spans="1:2" ht="16" x14ac:dyDescent="0.4">
      <c r="A167" s="6"/>
      <c r="B167" s="4"/>
    </row>
    <row r="168" spans="1:2" ht="16" x14ac:dyDescent="0.4">
      <c r="A168" s="6"/>
      <c r="B168" s="4"/>
    </row>
    <row r="169" spans="1:2" ht="16" x14ac:dyDescent="0.4">
      <c r="A169" s="6"/>
      <c r="B169" s="4"/>
    </row>
    <row r="170" spans="1:2" ht="16" x14ac:dyDescent="0.4">
      <c r="A170" s="6"/>
      <c r="B170" s="4"/>
    </row>
    <row r="171" spans="1:2" ht="16" x14ac:dyDescent="0.4">
      <c r="A171" s="6"/>
      <c r="B171" s="4"/>
    </row>
    <row r="172" spans="1:2" ht="16" x14ac:dyDescent="0.4">
      <c r="A172" s="6"/>
      <c r="B172" s="4"/>
    </row>
    <row r="173" spans="1:2" ht="16" x14ac:dyDescent="0.4">
      <c r="A173" s="6"/>
      <c r="B173" s="4"/>
    </row>
    <row r="174" spans="1:2" ht="16" x14ac:dyDescent="0.4">
      <c r="A174" s="6"/>
      <c r="B174" s="4"/>
    </row>
    <row r="175" spans="1:2" ht="16" x14ac:dyDescent="0.4">
      <c r="A175" s="6"/>
      <c r="B175" s="4"/>
    </row>
    <row r="176" spans="1:2" ht="16" x14ac:dyDescent="0.4">
      <c r="A176" s="6"/>
      <c r="B176" s="4"/>
    </row>
    <row r="177" spans="1:2" ht="16" x14ac:dyDescent="0.4">
      <c r="A177" s="6"/>
      <c r="B177" s="4"/>
    </row>
    <row r="178" spans="1:2" ht="16" x14ac:dyDescent="0.4">
      <c r="A178" s="6"/>
      <c r="B178" s="4"/>
    </row>
    <row r="179" spans="1:2" ht="16" x14ac:dyDescent="0.4">
      <c r="A179" s="6"/>
      <c r="B179" s="4"/>
    </row>
    <row r="180" spans="1:2" ht="16" x14ac:dyDescent="0.4">
      <c r="A180" s="6"/>
      <c r="B180" s="4"/>
    </row>
    <row r="181" spans="1:2" ht="16" x14ac:dyDescent="0.4">
      <c r="A181" s="6"/>
      <c r="B181" s="4"/>
    </row>
    <row r="182" spans="1:2" ht="16" x14ac:dyDescent="0.4">
      <c r="A182" s="6"/>
      <c r="B182" s="4"/>
    </row>
    <row r="183" spans="1:2" ht="16" x14ac:dyDescent="0.4">
      <c r="A183" s="6"/>
      <c r="B183" s="4"/>
    </row>
    <row r="184" spans="1:2" ht="16" x14ac:dyDescent="0.4">
      <c r="A184" s="6"/>
      <c r="B184" s="4"/>
    </row>
    <row r="185" spans="1:2" ht="16" x14ac:dyDescent="0.4">
      <c r="A185" s="6"/>
      <c r="B185" s="4"/>
    </row>
    <row r="186" spans="1:2" ht="16" x14ac:dyDescent="0.4">
      <c r="A186" s="6"/>
      <c r="B186" s="4"/>
    </row>
    <row r="187" spans="1:2" ht="16" x14ac:dyDescent="0.4">
      <c r="A187" s="6"/>
      <c r="B187" s="4"/>
    </row>
    <row r="188" spans="1:2" ht="16" x14ac:dyDescent="0.4">
      <c r="A188" s="6"/>
      <c r="B188" s="4"/>
    </row>
    <row r="189" spans="1:2" ht="16" x14ac:dyDescent="0.4">
      <c r="A189" s="6"/>
      <c r="B189" s="4"/>
    </row>
    <row r="190" spans="1:2" ht="16" x14ac:dyDescent="0.4">
      <c r="A190" s="6"/>
      <c r="B190" s="4"/>
    </row>
    <row r="191" spans="1:2" ht="16" x14ac:dyDescent="0.4">
      <c r="A191" s="6"/>
      <c r="B191" s="4"/>
    </row>
    <row r="192" spans="1:2" ht="16" x14ac:dyDescent="0.4">
      <c r="A192" s="6"/>
      <c r="B192" s="4"/>
    </row>
    <row r="193" spans="1:2" ht="16" x14ac:dyDescent="0.4">
      <c r="A193" s="6"/>
      <c r="B193" s="4"/>
    </row>
    <row r="194" spans="1:2" ht="16" x14ac:dyDescent="0.4">
      <c r="A194" s="6"/>
      <c r="B194" s="4"/>
    </row>
    <row r="195" spans="1:2" ht="16" x14ac:dyDescent="0.4">
      <c r="A195" s="6"/>
      <c r="B195" s="4"/>
    </row>
    <row r="196" spans="1:2" ht="16" x14ac:dyDescent="0.4">
      <c r="A196" s="6"/>
      <c r="B196" s="4"/>
    </row>
    <row r="197" spans="1:2" ht="16" x14ac:dyDescent="0.4">
      <c r="A197" s="6"/>
      <c r="B197" s="4"/>
    </row>
    <row r="198" spans="1:2" ht="16" x14ac:dyDescent="0.4">
      <c r="A198" s="6"/>
      <c r="B198" s="4"/>
    </row>
    <row r="199" spans="1:2" ht="16" x14ac:dyDescent="0.4">
      <c r="A199" s="6"/>
      <c r="B199" s="4"/>
    </row>
    <row r="200" spans="1:2" ht="16" x14ac:dyDescent="0.4">
      <c r="A200" s="6"/>
      <c r="B200" s="4"/>
    </row>
  </sheetData>
  <conditionalFormatting sqref="A38 A26:A36 A2:A7">
    <cfRule type="duplicateValues" dxfId="2" priority="2"/>
  </conditionalFormatting>
  <conditionalFormatting sqref="A38 A2:A36">
    <cfRule type="duplicateValues" dxfId="1" priority="3"/>
  </conditionalFormatting>
  <conditionalFormatting sqref="A2:A3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2025-12-02T19:55:09Z</dcterms:created>
  <dcterms:modified xsi:type="dcterms:W3CDTF">2025-12-19T18:22:40Z</dcterms:modified>
</cp:coreProperties>
</file>