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19420" windowHeight="110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<sst xmlns="http://schemas.openxmlformats.org/spreadsheetml/2006/main" count="48" uniqueCount="48">
  <si>
    <t>EXAM NUMBER</t>
  </si>
  <si>
    <t>NAME</t>
  </si>
  <si>
    <t>ANUFORO DEBORAH OLUCHI</t>
  </si>
  <si>
    <t>ILIYA VICTORIA NAFISA</t>
  </si>
  <si>
    <t>ISTIFANUS SARAH SHANAWAZA</t>
  </si>
  <si>
    <t>TAIWO FAVOUR TITOBILOLUWA</t>
  </si>
  <si>
    <t>JOHN GODRICA ZHINYADA</t>
  </si>
  <si>
    <t>MUHAMMAD FATIMA SANTALI</t>
  </si>
  <si>
    <t>PIE-NOAH COVENANT SUKA</t>
  </si>
  <si>
    <t>AYUBA MARY</t>
  </si>
  <si>
    <t>SYLVESTER FLOURISH</t>
  </si>
  <si>
    <t>FIBERESIMA ORAFIRI PETER</t>
  </si>
  <si>
    <t>UGWU PATIENCE CHINYENYE</t>
  </si>
  <si>
    <t>ADETOKUNBO TAIBAT</t>
  </si>
  <si>
    <t>JULIUS JIREH DUNG</t>
  </si>
  <si>
    <t>SAMUEL DIVINE</t>
  </si>
  <si>
    <t>RICKSON REJOICE USOKO</t>
  </si>
  <si>
    <t>EMMANUEL DESTINY ONIZE</t>
  </si>
  <si>
    <t>AYIM FAITH</t>
  </si>
  <si>
    <t>PETER FAITH ADA</t>
  </si>
  <si>
    <t>DENNIS EMMANUEL OLOCHE</t>
  </si>
  <si>
    <t>JACOB JEREMIAH FUNOM</t>
  </si>
  <si>
    <t>FCTCONS/ND23/040</t>
  </si>
  <si>
    <t>FCTCONS/ND23/067</t>
  </si>
  <si>
    <t>FCTCONS/ND23/128</t>
  </si>
  <si>
    <t>FCTCONS/ND23/029</t>
  </si>
  <si>
    <t>FCTCONS/ND23/051</t>
  </si>
  <si>
    <t>FCTCONS/ND23/102</t>
  </si>
  <si>
    <t>FCTCONS/ND23/060</t>
  </si>
  <si>
    <t>FCTCONS/ND23/079</t>
  </si>
  <si>
    <t>FCTCONS/ND23/117</t>
  </si>
  <si>
    <t>FCTCONS/ND23/052</t>
  </si>
  <si>
    <t>FCTCONS/ND23/016</t>
  </si>
  <si>
    <t>FCTCONS/ND23/113</t>
  </si>
  <si>
    <t>FCTCONS/ND23/039</t>
  </si>
  <si>
    <t>FCTCONS/ND23/062</t>
  </si>
  <si>
    <t>FCTCONS/ND23/087</t>
  </si>
  <si>
    <t>FCTCONS/ND23/031</t>
  </si>
  <si>
    <t>FCTCONS/ND23/015</t>
  </si>
  <si>
    <t>FCTCONS/ND23/127</t>
  </si>
  <si>
    <t>FCTCONS/ND23/110</t>
  </si>
  <si>
    <t>FCTCONS/ND23/025</t>
  </si>
  <si>
    <t>GNS225</t>
  </si>
  <si>
    <t>GNS221</t>
  </si>
  <si>
    <t>GNS226</t>
  </si>
  <si>
    <t>GST220</t>
  </si>
  <si>
    <t>GNS227</t>
  </si>
  <si>
    <t>GNS223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</si>
</sst>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Results%20ND%201%20&amp;%202/ND%201_2%20SUM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SS NOMINAL ROLL"/>
      <sheetName val="Sheet2"/>
      <sheetName val="Sheet1"/>
      <sheetName val="CLASS LIST"/>
      <sheetName val="First Year"/>
      <sheetName val="Second Year"/>
      <sheetName val="Third Year"/>
      <sheetName val="Students' Results Sheet"/>
      <sheetName val="MasterSheet"/>
      <sheetName val="Statistics&amp;Charts"/>
      <sheetName val="CA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AR9" t="str">
            <v>FCTCONS/ND23/040</v>
          </cell>
          <cell r="AS9" t="str">
            <v>ANUFORO DEBORAH OLUCHI</v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>
            <v>72.5</v>
          </cell>
        </row>
        <row r="10">
          <cell r="AR10" t="str">
            <v>FCTCONS/ND23/067</v>
          </cell>
          <cell r="AS10" t="str">
            <v>ILIYA VICTORIA NAFISA</v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>
            <v>71.5</v>
          </cell>
        </row>
        <row r="11">
          <cell r="AR11" t="str">
            <v>FCTCONS/ND23/128</v>
          </cell>
          <cell r="AS11" t="str">
            <v>ISTIFANUS SARAH SHANAWAZA</v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>
            <v>70.5</v>
          </cell>
        </row>
        <row r="12">
          <cell r="AR12" t="str">
            <v>FCTCONS/ND23/029</v>
          </cell>
          <cell r="AS12" t="str">
            <v>TAIWO FAVOUR TITOBILOLUWA</v>
          </cell>
          <cell r="AT12">
            <v>69</v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</row>
        <row r="13">
          <cell r="AR13" t="str">
            <v>FCTCONS/ND23/051</v>
          </cell>
          <cell r="AS13" t="str">
            <v>JOHN GODRICA ZHINYADA</v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>
            <v>67</v>
          </cell>
        </row>
        <row r="14">
          <cell r="AR14" t="str">
            <v>FCTCONS/ND23/102</v>
          </cell>
          <cell r="AS14" t="str">
            <v>MUHAMMAD FATIMA SANTALI</v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>
            <v>71.5</v>
          </cell>
        </row>
        <row r="15">
          <cell r="AR15" t="str">
            <v>FCTCONS/ND23/060</v>
          </cell>
          <cell r="AS15" t="str">
            <v>PIE-NOAH COVENANT SUKA</v>
          </cell>
          <cell r="AT15">
            <v>64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</row>
        <row r="16">
          <cell r="AR16" t="str">
            <v>FCTCONS/ND23/079</v>
          </cell>
          <cell r="AS16" t="str">
            <v>AYUBA MARY</v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>
            <v>63.5</v>
          </cell>
        </row>
        <row r="17">
          <cell r="AR17" t="str">
            <v>FCTCONS/ND23/117</v>
          </cell>
          <cell r="AS17" t="str">
            <v>SYLVESTER FLOURISH</v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>
            <v>72.5</v>
          </cell>
        </row>
        <row r="18">
          <cell r="AR18" t="str">
            <v>FCTCONS/ND23/052</v>
          </cell>
          <cell r="AS18" t="str">
            <v>FIBERESIMA ORAFIRI PETER</v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>
            <v>76</v>
          </cell>
        </row>
        <row r="19">
          <cell r="AR19" t="str">
            <v>FCTCONS/ND23/016</v>
          </cell>
          <cell r="AS19" t="str">
            <v>UGWU PATIENCE CHINYENYE</v>
          </cell>
          <cell r="AT19" t="str">
            <v/>
          </cell>
          <cell r="AU19" t="str">
            <v/>
          </cell>
          <cell r="AV19" t="str">
            <v/>
          </cell>
          <cell r="AW19">
            <v>65.5</v>
          </cell>
          <cell r="AX19" t="str">
            <v/>
          </cell>
          <cell r="AY19">
            <v>63</v>
          </cell>
        </row>
        <row r="20">
          <cell r="AR20" t="str">
            <v>FCTCONS/ND23/113</v>
          </cell>
          <cell r="AS20" t="str">
            <v>ADETOKUNBO TAIBAT</v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>
            <v>64.5</v>
          </cell>
        </row>
        <row r="21">
          <cell r="AR21" t="str">
            <v>FCTCONS/ND23/039</v>
          </cell>
          <cell r="AS21" t="str">
            <v>JULIUS JIREH DUNG</v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>
            <v>78</v>
          </cell>
          <cell r="AY21" t="str">
            <v/>
          </cell>
        </row>
        <row r="22">
          <cell r="AR22" t="str">
            <v>FCTCONS/ND23/062</v>
          </cell>
          <cell r="AS22" t="str">
            <v>SAMUEL DIVINE</v>
          </cell>
          <cell r="AT22" t="str">
            <v/>
          </cell>
          <cell r="AU22" t="str">
            <v/>
          </cell>
          <cell r="AV22">
            <v>77.5</v>
          </cell>
          <cell r="AW22" t="str">
            <v/>
          </cell>
          <cell r="AX22" t="str">
            <v/>
          </cell>
          <cell r="AY22" t="str">
            <v/>
          </cell>
        </row>
        <row r="23">
          <cell r="AR23" t="str">
            <v>FCTCONS/ND23/087</v>
          </cell>
          <cell r="AS23" t="str">
            <v>RICKSON REJOICE USOKO</v>
          </cell>
          <cell r="AT23" t="str">
            <v/>
          </cell>
          <cell r="AU23">
            <v>67.5</v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</row>
        <row r="24">
          <cell r="AR24" t="str">
            <v>FCTCONS/ND23/031</v>
          </cell>
          <cell r="AS24" t="str">
            <v>EMMANUEL DESTINY ONIZE</v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>
            <v>72</v>
          </cell>
        </row>
        <row r="25">
          <cell r="AR25" t="str">
            <v>FCTCONS/ND23/015</v>
          </cell>
          <cell r="AS25" t="str">
            <v>AYIM FAITH</v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>
            <v>66</v>
          </cell>
        </row>
        <row r="26">
          <cell r="AR26" t="str">
            <v>FCTCONS/ND23/127</v>
          </cell>
          <cell r="AS26" t="str">
            <v>PETER FAITH ADA</v>
          </cell>
          <cell r="AT26" t="str">
            <v/>
          </cell>
          <cell r="AU26" t="str">
            <v/>
          </cell>
          <cell r="AV26" t="str">
            <v/>
          </cell>
          <cell r="AW26">
            <v>63</v>
          </cell>
          <cell r="AX26" t="str">
            <v/>
          </cell>
          <cell r="AY26">
            <v>68.5</v>
          </cell>
        </row>
        <row r="27">
          <cell r="AR27" t="str">
            <v>FCTCONS/ND23/110</v>
          </cell>
          <cell r="AS27" t="str">
            <v>DENNIS EMMANUEL OLOCHE</v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>
            <v>65.5</v>
          </cell>
        </row>
        <row r="28">
          <cell r="AR28" t="str">
            <v>FCTCONS/ND23/025</v>
          </cell>
          <cell r="AS28" t="str">
            <v>JACOB JEREMIAH FUNOM</v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>
            <v>72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K6" sqref="K6"/>
    </sheetView>
  </sheetViews>
  <sheetFormatPr defaultRowHeight="14.5" x14ac:dyDescent="0.35"/>
  <cols>
    <col min="1" max="1" width="17.81640625" bestFit="1" customWidth="1"/>
    <col min="2" max="2" width="27.7265625" bestFit="1" customWidth="1"/>
    <col min="3" max="5" width="7.26953125" bestFit="1" customWidth="1"/>
    <col min="6" max="6" width="7" bestFit="1" customWidth="1"/>
    <col min="7" max="8" width="7.26953125" bestFit="1" customWidth="1"/>
  </cols>
  <sheetData>
    <row r="1" spans="1:8" x14ac:dyDescent="0.25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  <c r="G1" s="2" t="s">
        <v>46</v>
      </c>
      <c r="H1" s="2" t="s">
        <v>47</v>
      </c>
    </row>
    <row r="2" spans="1:8" x14ac:dyDescent="0.25">
      <c r="A2" t="s">
        <v>22</v>
      </c>
      <c r="B2" t="s">
        <v>2</v>
      </c>
      <c r="C2" t="str">
        <f>VLOOKUP(A2,[1]MasterSheet!$AR$9:$AT$28,3,0)</f>
        <v/>
      </c>
      <c r="D2" t="str">
        <f>VLOOKUP(A2,[1]MasterSheet!$AR$9:$AU$28,4,0)</f>
        <v/>
      </c>
      <c r="E2" t="str">
        <f>VLOOKUP(A2,[1]MasterSheet!$AR$9:$AV$28,5,0)</f>
        <v/>
      </c>
      <c r="F2" t="str">
        <f>VLOOKUP(A2,[1]MasterSheet!$AR$9:$AW$28,6,0)</f>
        <v/>
      </c>
      <c r="G2" t="str">
        <f>VLOOKUP(A2,[1]MasterSheet!$AR$9:$AX$28,7,0)</f>
        <v/>
      </c>
      <c r="H2">
        <f>VLOOKUP(A2,[1]MasterSheet!$AR$9:$AY$28,8,0)</f>
        <v>72.5</v>
      </c>
    </row>
    <row r="3" spans="1:8" x14ac:dyDescent="0.25">
      <c r="A3" t="s">
        <v>23</v>
      </c>
      <c r="B3" t="s">
        <v>3</v>
      </c>
      <c r="C3" t="str">
        <f>VLOOKUP(A3,[1]MasterSheet!$AR$9:$AT$28,3,0)</f>
        <v/>
      </c>
      <c r="D3" t="str">
        <f>VLOOKUP(A3,[1]MasterSheet!$AR$9:$AU$28,4,0)</f>
        <v/>
      </c>
      <c r="E3" t="str">
        <f>VLOOKUP(A3,[1]MasterSheet!$AR$9:$AV$28,5,0)</f>
        <v/>
      </c>
      <c r="F3" t="str">
        <f>VLOOKUP(A3,[1]MasterSheet!$AR$9:$AW$28,6,0)</f>
        <v/>
      </c>
      <c r="G3" t="str">
        <f>VLOOKUP(A3,[1]MasterSheet!$AR$9:$AX$28,7,0)</f>
        <v/>
      </c>
      <c r="H3">
        <f>VLOOKUP(A3,[1]MasterSheet!$AR$9:$AY$28,8,0)</f>
        <v>71.5</v>
      </c>
    </row>
    <row r="4" spans="1:8" x14ac:dyDescent="0.25">
      <c r="A4" t="s">
        <v>24</v>
      </c>
      <c r="B4" t="s">
        <v>4</v>
      </c>
      <c r="C4" t="str">
        <f>VLOOKUP(A4,[1]MasterSheet!$AR$9:$AT$28,3,0)</f>
        <v/>
      </c>
      <c r="D4" t="str">
        <f>VLOOKUP(A4,[1]MasterSheet!$AR$9:$AU$28,4,0)</f>
        <v/>
      </c>
      <c r="E4" t="str">
        <f>VLOOKUP(A4,[1]MasterSheet!$AR$9:$AV$28,5,0)</f>
        <v/>
      </c>
      <c r="F4" t="str">
        <f>VLOOKUP(A4,[1]MasterSheet!$AR$9:$AW$28,6,0)</f>
        <v/>
      </c>
      <c r="G4" t="str">
        <f>VLOOKUP(A4,[1]MasterSheet!$AR$9:$AX$28,7,0)</f>
        <v/>
      </c>
      <c r="H4">
        <f>VLOOKUP(A4,[1]MasterSheet!$AR$9:$AY$28,8,0)</f>
        <v>70.5</v>
      </c>
    </row>
    <row r="5" spans="1:8" x14ac:dyDescent="0.25">
      <c r="A5" t="s">
        <v>25</v>
      </c>
      <c r="B5" t="s">
        <v>5</v>
      </c>
      <c r="C5">
        <f>VLOOKUP(A5,[1]MasterSheet!$AR$9:$AT$28,3,0)</f>
        <v>69</v>
      </c>
      <c r="D5" t="str">
        <f>VLOOKUP(A5,[1]MasterSheet!$AR$9:$AU$28,4,0)</f>
        <v/>
      </c>
      <c r="E5" t="str">
        <f>VLOOKUP(A5,[1]MasterSheet!$AR$9:$AV$28,5,0)</f>
        <v/>
      </c>
      <c r="F5" t="str">
        <f>VLOOKUP(A5,[1]MasterSheet!$AR$9:$AW$28,6,0)</f>
        <v/>
      </c>
      <c r="G5" t="str">
        <f>VLOOKUP(A5,[1]MasterSheet!$AR$9:$AX$28,7,0)</f>
        <v/>
      </c>
      <c r="H5" t="str">
        <f>VLOOKUP(A5,[1]MasterSheet!$AR$9:$AY$28,8,0)</f>
        <v/>
      </c>
    </row>
    <row r="6" spans="1:8" x14ac:dyDescent="0.25">
      <c r="A6" t="s">
        <v>26</v>
      </c>
      <c r="B6" t="s">
        <v>6</v>
      </c>
      <c r="C6" t="str">
        <f>VLOOKUP(A6,[1]MasterSheet!$AR$9:$AT$28,3,0)</f>
        <v/>
      </c>
      <c r="D6" t="str">
        <f>VLOOKUP(A6,[1]MasterSheet!$AR$9:$AU$28,4,0)</f>
        <v/>
      </c>
      <c r="E6" t="str">
        <f>VLOOKUP(A6,[1]MasterSheet!$AR$9:$AV$28,5,0)</f>
        <v/>
      </c>
      <c r="F6" t="str">
        <f>VLOOKUP(A6,[1]MasterSheet!$AR$9:$AW$28,6,0)</f>
        <v/>
      </c>
      <c r="G6" t="str">
        <f>VLOOKUP(A6,[1]MasterSheet!$AR$9:$AX$28,7,0)</f>
        <v/>
      </c>
      <c r="H6">
        <f>VLOOKUP(A6,[1]MasterSheet!$AR$9:$AY$28,8,0)</f>
        <v>67</v>
      </c>
    </row>
    <row r="7" spans="1:8" x14ac:dyDescent="0.25">
      <c r="A7" t="s">
        <v>27</v>
      </c>
      <c r="B7" t="s">
        <v>7</v>
      </c>
      <c r="C7" t="str">
        <f>VLOOKUP(A7,[1]MasterSheet!$AR$9:$AT$28,3,0)</f>
        <v/>
      </c>
      <c r="D7" t="str">
        <f>VLOOKUP(A7,[1]MasterSheet!$AR$9:$AU$28,4,0)</f>
        <v/>
      </c>
      <c r="E7" t="str">
        <f>VLOOKUP(A7,[1]MasterSheet!$AR$9:$AV$28,5,0)</f>
        <v/>
      </c>
      <c r="F7" t="str">
        <f>VLOOKUP(A7,[1]MasterSheet!$AR$9:$AW$28,6,0)</f>
        <v/>
      </c>
      <c r="G7" t="str">
        <f>VLOOKUP(A7,[1]MasterSheet!$AR$9:$AX$28,7,0)</f>
        <v/>
      </c>
      <c r="H7">
        <f>VLOOKUP(A7,[1]MasterSheet!$AR$9:$AY$28,8,0)</f>
        <v>71.5</v>
      </c>
    </row>
    <row r="8" spans="1:8" x14ac:dyDescent="0.25">
      <c r="A8" t="s">
        <v>28</v>
      </c>
      <c r="B8" t="s">
        <v>8</v>
      </c>
      <c r="C8">
        <f>VLOOKUP(A8,[1]MasterSheet!$AR$9:$AT$28,3,0)</f>
        <v>64</v>
      </c>
      <c r="D8" t="str">
        <f>VLOOKUP(A8,[1]MasterSheet!$AR$9:$AU$28,4,0)</f>
        <v/>
      </c>
      <c r="E8" t="str">
        <f>VLOOKUP(A8,[1]MasterSheet!$AR$9:$AV$28,5,0)</f>
        <v/>
      </c>
      <c r="F8" t="str">
        <f>VLOOKUP(A8,[1]MasterSheet!$AR$9:$AW$28,6,0)</f>
        <v/>
      </c>
      <c r="G8" t="str">
        <f>VLOOKUP(A8,[1]MasterSheet!$AR$9:$AX$28,7,0)</f>
        <v/>
      </c>
      <c r="H8" t="str">
        <f>VLOOKUP(A8,[1]MasterSheet!$AR$9:$AY$28,8,0)</f>
        <v/>
      </c>
    </row>
    <row r="9" spans="1:8" x14ac:dyDescent="0.25">
      <c r="A9" t="s">
        <v>29</v>
      </c>
      <c r="B9" t="s">
        <v>9</v>
      </c>
      <c r="C9" t="str">
        <f>VLOOKUP(A9,[1]MasterSheet!$AR$9:$AT$28,3,0)</f>
        <v/>
      </c>
      <c r="D9" t="str">
        <f>VLOOKUP(A9,[1]MasterSheet!$AR$9:$AU$28,4,0)</f>
        <v/>
      </c>
      <c r="E9" t="str">
        <f>VLOOKUP(A9,[1]MasterSheet!$AR$9:$AV$28,5,0)</f>
        <v/>
      </c>
      <c r="F9" t="str">
        <f>VLOOKUP(A9,[1]MasterSheet!$AR$9:$AW$28,6,0)</f>
        <v/>
      </c>
      <c r="G9" t="str">
        <f>VLOOKUP(A9,[1]MasterSheet!$AR$9:$AX$28,7,0)</f>
        <v/>
      </c>
      <c r="H9">
        <f>VLOOKUP(A9,[1]MasterSheet!$AR$9:$AY$28,8,0)</f>
        <v>63.5</v>
      </c>
    </row>
    <row r="10" spans="1:8" x14ac:dyDescent="0.25">
      <c r="A10" t="s">
        <v>30</v>
      </c>
      <c r="B10" t="s">
        <v>10</v>
      </c>
      <c r="C10" t="str">
        <f>VLOOKUP(A10,[1]MasterSheet!$AR$9:$AT$28,3,0)</f>
        <v/>
      </c>
      <c r="D10" t="str">
        <f>VLOOKUP(A10,[1]MasterSheet!$AR$9:$AU$28,4,0)</f>
        <v/>
      </c>
      <c r="E10" t="str">
        <f>VLOOKUP(A10,[1]MasterSheet!$AR$9:$AV$28,5,0)</f>
        <v/>
      </c>
      <c r="F10" t="str">
        <f>VLOOKUP(A10,[1]MasterSheet!$AR$9:$AW$28,6,0)</f>
        <v/>
      </c>
      <c r="G10" t="str">
        <f>VLOOKUP(A10,[1]MasterSheet!$AR$9:$AX$28,7,0)</f>
        <v/>
      </c>
      <c r="H10">
        <f>VLOOKUP(A10,[1]MasterSheet!$AR$9:$AY$28,8,0)</f>
        <v>72.5</v>
      </c>
    </row>
    <row r="11" spans="1:8" x14ac:dyDescent="0.25">
      <c r="A11" t="s">
        <v>31</v>
      </c>
      <c r="B11" t="s">
        <v>11</v>
      </c>
      <c r="C11" t="str">
        <f>VLOOKUP(A11,[1]MasterSheet!$AR$9:$AT$28,3,0)</f>
        <v/>
      </c>
      <c r="D11" t="str">
        <f>VLOOKUP(A11,[1]MasterSheet!$AR$9:$AU$28,4,0)</f>
        <v/>
      </c>
      <c r="E11" t="str">
        <f>VLOOKUP(A11,[1]MasterSheet!$AR$9:$AV$28,5,0)</f>
        <v/>
      </c>
      <c r="F11" t="str">
        <f>VLOOKUP(A11,[1]MasterSheet!$AR$9:$AW$28,6,0)</f>
        <v/>
      </c>
      <c r="G11" t="str">
        <f>VLOOKUP(A11,[1]MasterSheet!$AR$9:$AX$28,7,0)</f>
        <v/>
      </c>
      <c r="H11">
        <f>VLOOKUP(A11,[1]MasterSheet!$AR$9:$AY$28,8,0)</f>
        <v>76</v>
      </c>
    </row>
    <row r="12" spans="1:8" x14ac:dyDescent="0.25">
      <c r="A12" t="s">
        <v>32</v>
      </c>
      <c r="B12" t="s">
        <v>12</v>
      </c>
      <c r="C12" t="str">
        <f>VLOOKUP(A12,[1]MasterSheet!$AR$9:$AT$28,3,0)</f>
        <v/>
      </c>
      <c r="D12" t="str">
        <f>VLOOKUP(A12,[1]MasterSheet!$AR$9:$AU$28,4,0)</f>
        <v/>
      </c>
      <c r="E12" t="str">
        <f>VLOOKUP(A12,[1]MasterSheet!$AR$9:$AV$28,5,0)</f>
        <v/>
      </c>
      <c r="F12">
        <f>VLOOKUP(A12,[1]MasterSheet!$AR$9:$AW$28,6,0)</f>
        <v>65.5</v>
      </c>
      <c r="G12" t="str">
        <f>VLOOKUP(A12,[1]MasterSheet!$AR$9:$AX$28,7,0)</f>
        <v/>
      </c>
      <c r="H12">
        <f>VLOOKUP(A12,[1]MasterSheet!$AR$9:$AY$28,8,0)</f>
        <v>63</v>
      </c>
    </row>
    <row r="13" spans="1:8" x14ac:dyDescent="0.25">
      <c r="A13" t="s">
        <v>33</v>
      </c>
      <c r="B13" t="s">
        <v>13</v>
      </c>
      <c r="C13" t="str">
        <f>VLOOKUP(A13,[1]MasterSheet!$AR$9:$AT$28,3,0)</f>
        <v/>
      </c>
      <c r="D13" t="str">
        <f>VLOOKUP(A13,[1]MasterSheet!$AR$9:$AU$28,4,0)</f>
        <v/>
      </c>
      <c r="E13" t="str">
        <f>VLOOKUP(A13,[1]MasterSheet!$AR$9:$AV$28,5,0)</f>
        <v/>
      </c>
      <c r="F13" t="str">
        <f>VLOOKUP(A13,[1]MasterSheet!$AR$9:$AW$28,6,0)</f>
        <v/>
      </c>
      <c r="G13" t="str">
        <f>VLOOKUP(A13,[1]MasterSheet!$AR$9:$AX$28,7,0)</f>
        <v/>
      </c>
      <c r="H13">
        <f>VLOOKUP(A13,[1]MasterSheet!$AR$9:$AY$28,8,0)</f>
        <v>64.5</v>
      </c>
    </row>
    <row r="14" spans="1:8" x14ac:dyDescent="0.25">
      <c r="A14" t="s">
        <v>34</v>
      </c>
      <c r="B14" t="s">
        <v>14</v>
      </c>
      <c r="C14" t="str">
        <f>VLOOKUP(A14,[1]MasterSheet!$AR$9:$AT$28,3,0)</f>
        <v/>
      </c>
      <c r="D14" t="str">
        <f>VLOOKUP(A14,[1]MasterSheet!$AR$9:$AU$28,4,0)</f>
        <v/>
      </c>
      <c r="E14" t="str">
        <f>VLOOKUP(A14,[1]MasterSheet!$AR$9:$AV$28,5,0)</f>
        <v/>
      </c>
      <c r="F14" t="str">
        <f>VLOOKUP(A14,[1]MasterSheet!$AR$9:$AW$28,6,0)</f>
        <v/>
      </c>
      <c r="G14">
        <f>VLOOKUP(A14,[1]MasterSheet!$AR$9:$AX$28,7,0)</f>
        <v>78</v>
      </c>
      <c r="H14" t="str">
        <f>VLOOKUP(A14,[1]MasterSheet!$AR$9:$AY$28,8,0)</f>
        <v/>
      </c>
    </row>
    <row r="15" spans="1:8" x14ac:dyDescent="0.25">
      <c r="A15" t="s">
        <v>35</v>
      </c>
      <c r="B15" t="s">
        <v>15</v>
      </c>
      <c r="C15" t="str">
        <f>VLOOKUP(A15,[1]MasterSheet!$AR$9:$AT$28,3,0)</f>
        <v/>
      </c>
      <c r="D15" t="str">
        <f>VLOOKUP(A15,[1]MasterSheet!$AR$9:$AU$28,4,0)</f>
        <v/>
      </c>
      <c r="E15">
        <f>VLOOKUP(A15,[1]MasterSheet!$AR$9:$AV$28,5,0)</f>
        <v>77.5</v>
      </c>
      <c r="F15" t="str">
        <f>VLOOKUP(A15,[1]MasterSheet!$AR$9:$AW$28,6,0)</f>
        <v/>
      </c>
      <c r="G15" t="str">
        <f>VLOOKUP(A15,[1]MasterSheet!$AR$9:$AX$28,7,0)</f>
        <v/>
      </c>
      <c r="H15" t="str">
        <f>VLOOKUP(A15,[1]MasterSheet!$AR$9:$AY$28,8,0)</f>
        <v/>
      </c>
    </row>
    <row r="16" spans="1:8" x14ac:dyDescent="0.25">
      <c r="A16" t="s">
        <v>36</v>
      </c>
      <c r="B16" t="s">
        <v>16</v>
      </c>
      <c r="C16" t="str">
        <f>VLOOKUP(A16,[1]MasterSheet!$AR$9:$AT$28,3,0)</f>
        <v/>
      </c>
      <c r="D16">
        <f>VLOOKUP(A16,[1]MasterSheet!$AR$9:$AU$28,4,0)</f>
        <v>67.5</v>
      </c>
      <c r="E16" t="str">
        <f>VLOOKUP(A16,[1]MasterSheet!$AR$9:$AV$28,5,0)</f>
        <v/>
      </c>
      <c r="F16" t="str">
        <f>VLOOKUP(A16,[1]MasterSheet!$AR$9:$AW$28,6,0)</f>
        <v/>
      </c>
      <c r="G16" t="str">
        <f>VLOOKUP(A16,[1]MasterSheet!$AR$9:$AX$28,7,0)</f>
        <v/>
      </c>
      <c r="H16" t="str">
        <f>VLOOKUP(A16,[1]MasterSheet!$AR$9:$AY$28,8,0)</f>
        <v/>
      </c>
    </row>
    <row r="17" spans="1:8" x14ac:dyDescent="0.25">
      <c r="A17" t="s">
        <v>37</v>
      </c>
      <c r="B17" t="s">
        <v>17</v>
      </c>
      <c r="C17" t="str">
        <f>VLOOKUP(A17,[1]MasterSheet!$AR$9:$AT$28,3,0)</f>
        <v/>
      </c>
      <c r="D17" t="str">
        <f>VLOOKUP(A17,[1]MasterSheet!$AR$9:$AU$28,4,0)</f>
        <v/>
      </c>
      <c r="E17" t="str">
        <f>VLOOKUP(A17,[1]MasterSheet!$AR$9:$AV$28,5,0)</f>
        <v/>
      </c>
      <c r="F17" t="str">
        <f>VLOOKUP(A17,[1]MasterSheet!$AR$9:$AW$28,6,0)</f>
        <v/>
      </c>
      <c r="G17" t="str">
        <f>VLOOKUP(A17,[1]MasterSheet!$AR$9:$AX$28,7,0)</f>
        <v/>
      </c>
      <c r="H17">
        <f>VLOOKUP(A17,[1]MasterSheet!$AR$9:$AY$28,8,0)</f>
        <v>72</v>
      </c>
    </row>
    <row r="18" spans="1:8" x14ac:dyDescent="0.25">
      <c r="A18" t="s">
        <v>38</v>
      </c>
      <c r="B18" t="s">
        <v>18</v>
      </c>
      <c r="C18" t="str">
        <f>VLOOKUP(A18,[1]MasterSheet!$AR$9:$AT$28,3,0)</f>
        <v/>
      </c>
      <c r="D18" t="str">
        <f>VLOOKUP(A18,[1]MasterSheet!$AR$9:$AU$28,4,0)</f>
        <v/>
      </c>
      <c r="E18" t="str">
        <f>VLOOKUP(A18,[1]MasterSheet!$AR$9:$AV$28,5,0)</f>
        <v/>
      </c>
      <c r="F18" t="str">
        <f>VLOOKUP(A18,[1]MasterSheet!$AR$9:$AW$28,6,0)</f>
        <v/>
      </c>
      <c r="G18" t="str">
        <f>VLOOKUP(A18,[1]MasterSheet!$AR$9:$AX$28,7,0)</f>
        <v/>
      </c>
      <c r="H18">
        <f>VLOOKUP(A18,[1]MasterSheet!$AR$9:$AY$28,8,0)</f>
        <v>66</v>
      </c>
    </row>
    <row r="19" spans="1:8" x14ac:dyDescent="0.25">
      <c r="A19" t="s">
        <v>39</v>
      </c>
      <c r="B19" t="s">
        <v>19</v>
      </c>
      <c r="C19" t="str">
        <f>VLOOKUP(A19,[1]MasterSheet!$AR$9:$AT$28,3,0)</f>
        <v/>
      </c>
      <c r="D19" t="str">
        <f>VLOOKUP(A19,[1]MasterSheet!$AR$9:$AU$28,4,0)</f>
        <v/>
      </c>
      <c r="E19" t="str">
        <f>VLOOKUP(A19,[1]MasterSheet!$AR$9:$AV$28,5,0)</f>
        <v/>
      </c>
      <c r="F19">
        <f>VLOOKUP(A19,[1]MasterSheet!$AR$9:$AW$28,6,0)</f>
        <v>63</v>
      </c>
      <c r="G19" t="str">
        <f>VLOOKUP(A19,[1]MasterSheet!$AR$9:$AX$28,7,0)</f>
        <v/>
      </c>
      <c r="H19">
        <f>VLOOKUP(A19,[1]MasterSheet!$AR$9:$AY$28,8,0)</f>
        <v>68.5</v>
      </c>
    </row>
    <row r="20" spans="1:8" x14ac:dyDescent="0.25">
      <c r="A20" t="s">
        <v>40</v>
      </c>
      <c r="B20" t="s">
        <v>20</v>
      </c>
      <c r="C20" t="str">
        <f>VLOOKUP(A20,[1]MasterSheet!$AR$9:$AT$28,3,0)</f>
        <v/>
      </c>
      <c r="D20" t="str">
        <f>VLOOKUP(A20,[1]MasterSheet!$AR$9:$AU$28,4,0)</f>
        <v/>
      </c>
      <c r="E20" t="str">
        <f>VLOOKUP(A20,[1]MasterSheet!$AR$9:$AV$28,5,0)</f>
        <v/>
      </c>
      <c r="F20" t="str">
        <f>VLOOKUP(A20,[1]MasterSheet!$AR$9:$AW$28,6,0)</f>
        <v/>
      </c>
      <c r="G20" t="str">
        <f>VLOOKUP(A20,[1]MasterSheet!$AR$9:$AX$28,7,0)</f>
        <v/>
      </c>
      <c r="H20">
        <f>VLOOKUP(A20,[1]MasterSheet!$AR$9:$AY$28,8,0)</f>
        <v>65.5</v>
      </c>
    </row>
    <row r="21" spans="1:8" x14ac:dyDescent="0.25">
      <c r="A21" t="s">
        <v>41</v>
      </c>
      <c r="B21" t="s">
        <v>21</v>
      </c>
      <c r="C21" t="str">
        <f>VLOOKUP(A21,[1]MasterSheet!$AR$9:$AT$28,3,0)</f>
        <v/>
      </c>
      <c r="D21" t="str">
        <f>VLOOKUP(A21,[1]MasterSheet!$AR$9:$AU$28,4,0)</f>
        <v/>
      </c>
      <c r="E21" t="str">
        <f>VLOOKUP(A21,[1]MasterSheet!$AR$9:$AV$28,5,0)</f>
        <v/>
      </c>
      <c r="F21" t="str">
        <f>VLOOKUP(A21,[1]MasterSheet!$AR$9:$AW$28,6,0)</f>
        <v/>
      </c>
      <c r="G21" t="str">
        <f>VLOOKUP(A21,[1]MasterSheet!$AR$9:$AX$28,7,0)</f>
        <v/>
      </c>
      <c r="H21">
        <f>VLOOKUP(A21,[1]MasterSheet!$AR$9:$AY$28,8,0)</f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2025-12-02T19:55:09Z</dcterms:created>
  <dcterms:modified xsi:type="dcterms:W3CDTF">2025-12-19T18:23:01Z</dcterms:modified>
</cp:coreProperties>
</file>