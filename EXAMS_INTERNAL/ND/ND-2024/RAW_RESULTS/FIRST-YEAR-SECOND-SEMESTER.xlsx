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20" windowHeight="11020" activeTab="2"/>
  </bookViews>
  <sheets>
    <sheet name="CA" sheetId="1" r:id="rId1"/>
    <sheet name="OBJ" sheetId="2" r:id="rId2"/>
    <sheet name="EXAM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K95" i="2" l="1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<sst xmlns="http://schemas.openxmlformats.org/spreadsheetml/2006/main" count="656" uniqueCount="201">
  <si>
    <t>S/N</t>
  </si>
  <si>
    <t>REG. No</t>
  </si>
  <si>
    <t>NAME</t>
  </si>
  <si>
    <t>Human Anatomy II</t>
  </si>
  <si>
    <t>Human Physiology II</t>
  </si>
  <si>
    <t>Developmental Psychology</t>
  </si>
  <si>
    <t>Human Nutrition</t>
  </si>
  <si>
    <t>Pharmacology I</t>
  </si>
  <si>
    <t>Foundations Of Nursing II</t>
  </si>
  <si>
    <t>Primary Health Care (PHC) I</t>
  </si>
  <si>
    <t>Intro. To Entrepreneurship</t>
  </si>
  <si>
    <t>FCTCONS/ND23/001</t>
  </si>
  <si>
    <t xml:space="preserve">IBIAM CHINYERE IFEOMA   </t>
  </si>
  <si>
    <t>FCTCONS/ND23/003</t>
  </si>
  <si>
    <t xml:space="preserve">AKINYEMI OSIEKAFORE ESTHER  </t>
  </si>
  <si>
    <t>FCTCONS/ND23/004</t>
  </si>
  <si>
    <t xml:space="preserve">OFIKWU MARTHA OGWA   </t>
  </si>
  <si>
    <t>FCTCONS/ND23/005</t>
  </si>
  <si>
    <t xml:space="preserve">LENKA NENRIT HANNAH   </t>
  </si>
  <si>
    <t>FCTCONS/ND23/006</t>
  </si>
  <si>
    <t xml:space="preserve">JAMES ABIGAIL AKAITO    </t>
  </si>
  <si>
    <t>FCTCONS/ND23/007</t>
  </si>
  <si>
    <t xml:space="preserve">AZONABOR SARAH OMOSE   </t>
  </si>
  <si>
    <t>FCTCONS/ND23/008</t>
  </si>
  <si>
    <t xml:space="preserve">ONYESO DAVID CHUKWUDI   </t>
  </si>
  <si>
    <t>FCTCONS/ND23/010</t>
  </si>
  <si>
    <t xml:space="preserve">OGUNDELE ADEDAMOLA BOLUWATIFE </t>
  </si>
  <si>
    <t>FCTCONS/ND23/011</t>
  </si>
  <si>
    <t xml:space="preserve">ISAH USMAN ILIYASU    </t>
  </si>
  <si>
    <t>FCTCONS/ND23/013</t>
  </si>
  <si>
    <t xml:space="preserve">PAMDEP JONATHAN IBRAHIM   </t>
  </si>
  <si>
    <t>FCTCONS/ND23/014</t>
  </si>
  <si>
    <t xml:space="preserve">OKOLI CHIEMERIE UZOMA   </t>
  </si>
  <si>
    <t>FCTCONS/ND23/015</t>
  </si>
  <si>
    <t xml:space="preserve">AYIM FAITH     </t>
  </si>
  <si>
    <t>FCTCONS/ND23/016</t>
  </si>
  <si>
    <t xml:space="preserve">UGWU PATIENCE CHINYENYE   </t>
  </si>
  <si>
    <t>FCTCONS/ND23/017</t>
  </si>
  <si>
    <t xml:space="preserve">SALIU OLUWASEGUN ABDULHAKEEM </t>
  </si>
  <si>
    <t>FCTCONS/ND23/019</t>
  </si>
  <si>
    <t xml:space="preserve">EGOH DORCAS ISHIYA    </t>
  </si>
  <si>
    <t>FCTCONS/ND23/020</t>
  </si>
  <si>
    <t xml:space="preserve">IBRAHIM SA'ADATU    </t>
  </si>
  <si>
    <t>FCTCONS/ND23/021</t>
  </si>
  <si>
    <t xml:space="preserve">IBRAHIM MARYAM YESMIN   </t>
  </si>
  <si>
    <t>FCTCONS/ND23/022</t>
  </si>
  <si>
    <t xml:space="preserve">NKEMAKOLAM PRINCESS SOMTOCHUKWU </t>
  </si>
  <si>
    <t>FCTCONS/ND23/024</t>
  </si>
  <si>
    <t xml:space="preserve">LUKA-ADUWAK ELLEN ZIGWAI  </t>
  </si>
  <si>
    <t>FCTCONS/ND23/025</t>
  </si>
  <si>
    <t xml:space="preserve">JACOB JEREMIAH FUNOM   </t>
  </si>
  <si>
    <t>FCTCONS/ND23/027</t>
  </si>
  <si>
    <t xml:space="preserve">JEREMIAH GRACE MGBEDE   </t>
  </si>
  <si>
    <t>FCTCONS/ND23/028</t>
  </si>
  <si>
    <t xml:space="preserve">GOWON HAPPINESS    </t>
  </si>
  <si>
    <t>FCTCONS/ND23/029</t>
  </si>
  <si>
    <t xml:space="preserve">TAIWO FAVOUR TITOBILOLUWA  </t>
  </si>
  <si>
    <t>FCTCONS/ND23/030</t>
  </si>
  <si>
    <t xml:space="preserve">NWACHUKWU BLESSING IFEOMA  </t>
  </si>
  <si>
    <t>FCTCONS/ND23/031</t>
  </si>
  <si>
    <t xml:space="preserve">EMMANUEL DESTINY ONIZE   </t>
  </si>
  <si>
    <t>FCTCONS/ND23/034</t>
  </si>
  <si>
    <t xml:space="preserve">OMODARA FAVOUR OLUWABUKOLA  </t>
  </si>
  <si>
    <t>FCTCONS/ND23/035</t>
  </si>
  <si>
    <t xml:space="preserve">BENEDICT PRISCILLA UJUNWA   </t>
  </si>
  <si>
    <t>FCTCONS/ND23/036</t>
  </si>
  <si>
    <t xml:space="preserve">ABULUDE JOY OLUWABUKOLA  </t>
  </si>
  <si>
    <t>FCTCONS/ND23/037</t>
  </si>
  <si>
    <t xml:space="preserve">ONWUKWE WENDY EBERECHI   </t>
  </si>
  <si>
    <t>FCTCONS/ND23/038</t>
  </si>
  <si>
    <t xml:space="preserve">OBIORAH PRECIOUS IFUNANYA  </t>
  </si>
  <si>
    <t>FCTCONS/ND23/039</t>
  </si>
  <si>
    <t xml:space="preserve">JULIUS JIREH DUNG    </t>
  </si>
  <si>
    <t>FCTCONS/ND23/040</t>
  </si>
  <si>
    <t xml:space="preserve">ANUFORO DEBORAH OLUCHI   </t>
  </si>
  <si>
    <t>FCTCONS/ND23/041</t>
  </si>
  <si>
    <t xml:space="preserve">TYOKYAA VERONICA    </t>
  </si>
  <si>
    <t>FCTCONS/ND23/042</t>
  </si>
  <si>
    <t xml:space="preserve">MUHAMMAD ABDULLAHI SAGIR  </t>
  </si>
  <si>
    <t>FCTCONS/ND23/043</t>
  </si>
  <si>
    <t xml:space="preserve">AYANDIRAN NANAFIRDAUS TITILOPE </t>
  </si>
  <si>
    <t>FCTCONS/ND23/044</t>
  </si>
  <si>
    <t xml:space="preserve">SANI MARY GOBIR    </t>
  </si>
  <si>
    <t>FCTCONS/ND23/048</t>
  </si>
  <si>
    <t xml:space="preserve">NNOBA PAMELA UDOCHUKWU  </t>
  </si>
  <si>
    <t>FCTCONS/ND23/051</t>
  </si>
  <si>
    <t xml:space="preserve">JOHN GODRICA ZHINYADA   </t>
  </si>
  <si>
    <t>FCTCONS/ND23/052</t>
  </si>
  <si>
    <t xml:space="preserve">FIBERESIMA ORAFIRI PETER   </t>
  </si>
  <si>
    <t>FCTCONS/ND23/053</t>
  </si>
  <si>
    <t xml:space="preserve">NUHU CONFIDENCE    </t>
  </si>
  <si>
    <t>FCTCONS/ND23/055</t>
  </si>
  <si>
    <t xml:space="preserve">SULEMAN ZAINAB ATIYAYE   </t>
  </si>
  <si>
    <t>FCTCONS/ND23/056</t>
  </si>
  <si>
    <t xml:space="preserve">GYANG NORO HADASSAH   </t>
  </si>
  <si>
    <t>FCTCONS/ND23/057</t>
  </si>
  <si>
    <t xml:space="preserve">MAHMUD AISHA     </t>
  </si>
  <si>
    <t>FCTCONS/ND23/060</t>
  </si>
  <si>
    <t xml:space="preserve">PIE-NOAH COVENANT SUKA   </t>
  </si>
  <si>
    <t>FCTCONS/ND23/061</t>
  </si>
  <si>
    <t xml:space="preserve">SANI FATIMA TIWATOPE   </t>
  </si>
  <si>
    <t>FCTCONS/ND23/062</t>
  </si>
  <si>
    <t xml:space="preserve">SAMUEL DIVINE     </t>
  </si>
  <si>
    <t>FCTCONS/ND23/063</t>
  </si>
  <si>
    <t xml:space="preserve">MAIVA PHEBE THOMAS    </t>
  </si>
  <si>
    <t>FCTCONS/ND23/064</t>
  </si>
  <si>
    <t xml:space="preserve">ISAAC OBEDIENCE SHEKWO'AGU  </t>
  </si>
  <si>
    <t>FCTCONS/ND23/066</t>
  </si>
  <si>
    <t xml:space="preserve">EDOM JENNIFER CHIAMAKA   </t>
  </si>
  <si>
    <t>FCTCONS/ND23/067</t>
  </si>
  <si>
    <t xml:space="preserve">ILIYA VICTORIA NAFISA    </t>
  </si>
  <si>
    <t>FCTCONS/ND23/068</t>
  </si>
  <si>
    <t xml:space="preserve">KENNETH GIFT     </t>
  </si>
  <si>
    <t>FCTCONS/ND23/069</t>
  </si>
  <si>
    <t xml:space="preserve">UGBENIN EFFUA ALLWELL   </t>
  </si>
  <si>
    <t>FCTCONS/ND23/070</t>
  </si>
  <si>
    <t xml:space="preserve">OLAYOSOYE MERCY OMOWUNMI  </t>
  </si>
  <si>
    <t>FCTCONS/ND23/071</t>
  </si>
  <si>
    <t xml:space="preserve">IKADE LOVINA EKWOK    </t>
  </si>
  <si>
    <t>FCTCONS/ND23/072</t>
  </si>
  <si>
    <t xml:space="preserve">IRABOR AIZEHINOMOH DEBORAH  </t>
  </si>
  <si>
    <t>FCTCONS/ND23/073</t>
  </si>
  <si>
    <t xml:space="preserve">ADEBONA ADEJOKE COMFORT   </t>
  </si>
  <si>
    <t>FCTCONS/ND23/074</t>
  </si>
  <si>
    <t xml:space="preserve">ISAH HAFSAT ONAYI    </t>
  </si>
  <si>
    <t>FCTCONS/ND23/075</t>
  </si>
  <si>
    <t xml:space="preserve">CHUKWUNEE FAVOUR CHIDINMA  </t>
  </si>
  <si>
    <t>FCTCONS/ND23/076</t>
  </si>
  <si>
    <t xml:space="preserve">PAULO PEACENT     </t>
  </si>
  <si>
    <t>FCTCONS/ND23/077</t>
  </si>
  <si>
    <t xml:space="preserve">IBRAHIM AWA MUTAH    </t>
  </si>
  <si>
    <t>FCTCONS/ND23/078</t>
  </si>
  <si>
    <t xml:space="preserve">INALEGWU ADAMA DAVID   </t>
  </si>
  <si>
    <t>FCTCONS/ND23/079</t>
  </si>
  <si>
    <t xml:space="preserve">AYUBA MARY     </t>
  </si>
  <si>
    <t>FCTCONS/ND23/080</t>
  </si>
  <si>
    <t xml:space="preserve">BITRUS ISAIAH SUNDAY    </t>
  </si>
  <si>
    <t>FCTCONS/ND23/083</t>
  </si>
  <si>
    <t xml:space="preserve">ADAMS SURAYYAT DAHIRU   </t>
  </si>
  <si>
    <t>FCTCONS/ND23/085</t>
  </si>
  <si>
    <t xml:space="preserve">FADUM MERIT     </t>
  </si>
  <si>
    <t>FCTCONS/ND23/086</t>
  </si>
  <si>
    <t xml:space="preserve">ADEBANJO DIVINE JESUTOFUNMI  </t>
  </si>
  <si>
    <t>FCTCONS/ND23/087</t>
  </si>
  <si>
    <t xml:space="preserve">RICKSON REJOICE USOKO   </t>
  </si>
  <si>
    <t>FCTCONS/ND23/088</t>
  </si>
  <si>
    <t xml:space="preserve">NOKOH KELLY IGHOWHO   </t>
  </si>
  <si>
    <t>FCTCONS/ND23/089</t>
  </si>
  <si>
    <t xml:space="preserve">WALKER CASSANDRA OGHENEBRORHIE </t>
  </si>
  <si>
    <t>FCTCONS/ND23/090</t>
  </si>
  <si>
    <t xml:space="preserve">MOSES STELLA AJUMA    </t>
  </si>
  <si>
    <t>FCTCONS/ND23/091</t>
  </si>
  <si>
    <t xml:space="preserve">NNODIM JUDE NDUBUISI   </t>
  </si>
  <si>
    <t>FCTCONS/ND23/092</t>
  </si>
  <si>
    <t xml:space="preserve">STEPHEN AYUBA MUSA    </t>
  </si>
  <si>
    <t>FCTCONS/ND23/093</t>
  </si>
  <si>
    <t xml:space="preserve">FRANCIS BEWISE     </t>
  </si>
  <si>
    <t>FCTCONS/ND23/096</t>
  </si>
  <si>
    <t xml:space="preserve">BENJAMIN AMARACHUKWU MARVELOUS </t>
  </si>
  <si>
    <t>FCTCONS/ND23/100</t>
  </si>
  <si>
    <t xml:space="preserve">USEN ESTHER NSEYO    </t>
  </si>
  <si>
    <t>FCTCONS/ND23/101</t>
  </si>
  <si>
    <t xml:space="preserve">FRANCIS BERNICE KULAN   </t>
  </si>
  <si>
    <t>FCTCONS/ND23/102</t>
  </si>
  <si>
    <t xml:space="preserve">MUHAMMAD FATIMA SANTALI  </t>
  </si>
  <si>
    <t>FCTCONS/ND23/103</t>
  </si>
  <si>
    <t xml:space="preserve">DAN-ASABE PEACE    </t>
  </si>
  <si>
    <t>FCTCONS/ND23/104</t>
  </si>
  <si>
    <t xml:space="preserve">NWAKA WINNING ISIOMA   </t>
  </si>
  <si>
    <t>FCTCONS/ND23/105</t>
  </si>
  <si>
    <t xml:space="preserve">ABUBAKAR SHULAMITE OJONIMI  </t>
  </si>
  <si>
    <t>FCTCONS/ND23/106</t>
  </si>
  <si>
    <t xml:space="preserve">ADEBISI OLUWABUKUNMI MARY  </t>
  </si>
  <si>
    <t>FCTCONS/ND23/107</t>
  </si>
  <si>
    <t xml:space="preserve">SALAUDEEN MARIAM ABIOLA   </t>
  </si>
  <si>
    <t>FCTCONS/ND23/110</t>
  </si>
  <si>
    <t xml:space="preserve">DENNIS EMMANUEL OLOCHE   </t>
  </si>
  <si>
    <t>FCTCONS/ND23/113</t>
  </si>
  <si>
    <t xml:space="preserve">ADETOKUNBO TAIBAT    </t>
  </si>
  <si>
    <t>FCTCONS/ND23/114</t>
  </si>
  <si>
    <t xml:space="preserve">YAKUBU PRISCILLA ASHEZIE   </t>
  </si>
  <si>
    <t>FCTCONS/ND23/115</t>
  </si>
  <si>
    <t xml:space="preserve">OGETTE DEBORAH AFENOSOMI  </t>
  </si>
  <si>
    <t>FCTCONS/ND23/117</t>
  </si>
  <si>
    <t xml:space="preserve">SYLVESTER FLO+D19URISH    </t>
  </si>
  <si>
    <t>FCTCONS/ND23/118</t>
  </si>
  <si>
    <t xml:space="preserve">OGBONNAYA MERCY ONYENATURUCHI </t>
  </si>
  <si>
    <t>FCTCONS/ND23/119</t>
  </si>
  <si>
    <t xml:space="preserve">OKPECHI FAITH CHIDIMMA   </t>
  </si>
  <si>
    <t>FCTCONS/ND23/121</t>
  </si>
  <si>
    <t xml:space="preserve">LONGBA ESTHER EPHRAIM   </t>
  </si>
  <si>
    <t>FCTCONS/ND23/124</t>
  </si>
  <si>
    <t xml:space="preserve">UMAR FARUK ZAINAB    </t>
  </si>
  <si>
    <t>FCTCONS/ND23/125</t>
  </si>
  <si>
    <t xml:space="preserve">SUNDAY JENNIFER IKECHUKWU  </t>
  </si>
  <si>
    <t>FCTCONS/ND23/127</t>
  </si>
  <si>
    <t xml:space="preserve">PETER FAITH ADA     </t>
  </si>
  <si>
    <t>FCTCONS/ND23/128</t>
  </si>
  <si>
    <t xml:space="preserve">ISTIFANUS SARAH SHANAWAZA  </t>
  </si>
  <si>
    <t xml:space="preserve"> </t>
  </si>
  <si>
    <t>NOT 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</si>
</sst>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entaur"/>
      <family val="1"/>
    </font>
    <font>
      <b/>
      <sz val="12"/>
      <color theme="1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Results%20ND%201%20&amp;%202/ND%201%202024%20%201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ASS NOMINAL ROLL"/>
      <sheetName val="Sheet2"/>
      <sheetName val="Sheet1"/>
      <sheetName val="CLASS LIST"/>
      <sheetName val="First Year"/>
      <sheetName val="Second Year"/>
      <sheetName val="Third Year"/>
      <sheetName val="Students' Results Sheet"/>
      <sheetName val="MasterSheet"/>
      <sheetName val="Mailer 1_2"/>
      <sheetName val="Mailer 1_1"/>
      <sheetName val="Statistics&amp;Charts"/>
      <sheetName val="CA RESULTS"/>
      <sheetName val="OBJ RESULTS"/>
    </sheetNames>
    <sheetDataSet>
      <sheetData sheetId="0"/>
      <sheetData sheetId="1"/>
      <sheetData sheetId="2"/>
      <sheetData sheetId="3"/>
      <sheetData sheetId="4">
        <row r="419">
          <cell r="T419" t="str">
            <v>FCTCONS/ND23/073</v>
          </cell>
          <cell r="U419" t="str">
            <v>ADEBONA ADEJOKE COMFORT</v>
          </cell>
          <cell r="Z419">
            <v>14</v>
          </cell>
          <cell r="AA419">
            <v>0</v>
          </cell>
          <cell r="AB419">
            <v>53.5</v>
          </cell>
        </row>
        <row r="420">
          <cell r="T420" t="str">
            <v>FCTCONS/ND23/053</v>
          </cell>
          <cell r="U420" t="str">
            <v>NUHU CONFIDENCE</v>
          </cell>
          <cell r="Z420">
            <v>15</v>
          </cell>
          <cell r="AA420">
            <v>0</v>
          </cell>
          <cell r="AB420">
            <v>61.5</v>
          </cell>
        </row>
        <row r="421">
          <cell r="T421" t="str">
            <v>FCTCONS/ND23/055</v>
          </cell>
          <cell r="U421" t="str">
            <v>SULEMAN ZAINAB ATIYAYE</v>
          </cell>
          <cell r="Z421">
            <v>10.5</v>
          </cell>
          <cell r="AA421">
            <v>0</v>
          </cell>
          <cell r="AB421">
            <v>52</v>
          </cell>
        </row>
        <row r="422">
          <cell r="T422" t="str">
            <v>FCTCONS/ND23/069</v>
          </cell>
          <cell r="U422" t="str">
            <v>UGBENIN EFFUA ALLWELL</v>
          </cell>
          <cell r="Z422">
            <v>14</v>
          </cell>
          <cell r="AA422">
            <v>0</v>
          </cell>
          <cell r="AB422">
            <v>56.5</v>
          </cell>
        </row>
        <row r="423">
          <cell r="T423" t="str">
            <v>FCTCONS/ND23/036</v>
          </cell>
          <cell r="U423" t="str">
            <v>ABULUDE JOY OLUWABUKOLA</v>
          </cell>
          <cell r="Z423">
            <v>13.5</v>
          </cell>
          <cell r="AA423">
            <v>0</v>
          </cell>
          <cell r="AB423">
            <v>58.5</v>
          </cell>
        </row>
        <row r="424">
          <cell r="T424" t="str">
            <v>FCTCONS/ND23/056</v>
          </cell>
          <cell r="U424" t="str">
            <v>GYANG NORO HADASSAH</v>
          </cell>
          <cell r="Z424">
            <v>15.5</v>
          </cell>
          <cell r="AA424">
            <v>0</v>
          </cell>
          <cell r="AB424">
            <v>59</v>
          </cell>
        </row>
        <row r="425">
          <cell r="T425" t="str">
            <v>FCTCONS/ND23/071</v>
          </cell>
          <cell r="U425" t="str">
            <v>IKADE LOVINA EKWOK</v>
          </cell>
          <cell r="Z425">
            <v>14</v>
          </cell>
          <cell r="AA425">
            <v>0</v>
          </cell>
          <cell r="AB425">
            <v>41.5</v>
          </cell>
        </row>
        <row r="426">
          <cell r="T426" t="str">
            <v>FCTCONS/ND23/078</v>
          </cell>
          <cell r="U426" t="str">
            <v>INALEGWU ADAMA DAVID</v>
          </cell>
          <cell r="Z426">
            <v>12.5</v>
          </cell>
          <cell r="AA426">
            <v>0</v>
          </cell>
          <cell r="AB426">
            <v>51</v>
          </cell>
        </row>
        <row r="427">
          <cell r="T427" t="str">
            <v>FCTCONS/ND23/035</v>
          </cell>
          <cell r="U427" t="str">
            <v>BENEDICT PRISCILLA UJUNWA</v>
          </cell>
          <cell r="Z427">
            <v>16.5</v>
          </cell>
          <cell r="AA427">
            <v>0</v>
          </cell>
          <cell r="AB427">
            <v>62</v>
          </cell>
        </row>
        <row r="428">
          <cell r="T428" t="str">
            <v>FCTCONS/ND23/080</v>
          </cell>
          <cell r="U428" t="str">
            <v>BITRUS ISAIAH SUNDAY</v>
          </cell>
          <cell r="Z428">
            <v>10.5</v>
          </cell>
          <cell r="AA428">
            <v>0</v>
          </cell>
          <cell r="AB428">
            <v>45</v>
          </cell>
        </row>
        <row r="429">
          <cell r="T429" t="str">
            <v>FCTCONS/ND23/076</v>
          </cell>
          <cell r="U429" t="str">
            <v>PAULO PEACENT</v>
          </cell>
          <cell r="Z429">
            <v>12.5</v>
          </cell>
          <cell r="AA429">
            <v>0</v>
          </cell>
          <cell r="AB429">
            <v>59</v>
          </cell>
        </row>
        <row r="430">
          <cell r="T430" t="str">
            <v>FCTCONS/ND23/101</v>
          </cell>
          <cell r="U430" t="str">
            <v>FRANCIS BERNICE KULAN</v>
          </cell>
          <cell r="Z430">
            <v>10</v>
          </cell>
          <cell r="AA430">
            <v>0</v>
          </cell>
          <cell r="AB430">
            <v>50</v>
          </cell>
        </row>
        <row r="431">
          <cell r="T431" t="str">
            <v>FCTCONS/ND23/079</v>
          </cell>
          <cell r="U431" t="str">
            <v>AYUBA MARY</v>
          </cell>
          <cell r="Z431">
            <v>13</v>
          </cell>
          <cell r="AA431">
            <v>0</v>
          </cell>
          <cell r="AB431">
            <v>46</v>
          </cell>
        </row>
        <row r="432">
          <cell r="T432" t="str">
            <v>FCTCONS/ND23/061</v>
          </cell>
          <cell r="U432" t="str">
            <v>SANI FATIMA TIWATOPE</v>
          </cell>
          <cell r="Z432">
            <v>14</v>
          </cell>
          <cell r="AA432">
            <v>0</v>
          </cell>
          <cell r="AB432">
            <v>53.5</v>
          </cell>
        </row>
        <row r="433">
          <cell r="T433" t="str">
            <v>FCTCONS/ND23/067</v>
          </cell>
          <cell r="U433" t="str">
            <v>ILIYA VICTORIA NAFISA</v>
          </cell>
          <cell r="Z433">
            <v>13.5</v>
          </cell>
          <cell r="AA433">
            <v>0</v>
          </cell>
          <cell r="AB433">
            <v>49</v>
          </cell>
        </row>
        <row r="434">
          <cell r="T434" t="str">
            <v>FCTCONS/ND23/086</v>
          </cell>
          <cell r="U434" t="str">
            <v>ADEBANJO DIVINE JESUTOFUNMI</v>
          </cell>
          <cell r="Z434">
            <v>15</v>
          </cell>
          <cell r="AA434">
            <v>0</v>
          </cell>
          <cell r="AB434">
            <v>53.5</v>
          </cell>
        </row>
        <row r="435">
          <cell r="T435" t="str">
            <v>FCTCONS/ND23/113</v>
          </cell>
          <cell r="U435" t="str">
            <v>ADETOKUNBO TAIBAT</v>
          </cell>
          <cell r="Z435">
            <v>11.5</v>
          </cell>
          <cell r="AA435">
            <v>0</v>
          </cell>
          <cell r="AB435">
            <v>44</v>
          </cell>
        </row>
        <row r="436">
          <cell r="T436" t="str">
            <v>FCTCONS/ND23/128</v>
          </cell>
          <cell r="U436" t="str">
            <v>ISTIFANUS SARAH SHANAWAZA</v>
          </cell>
          <cell r="Z436">
            <v>12.5</v>
          </cell>
          <cell r="AA436">
            <v>0</v>
          </cell>
          <cell r="AB436">
            <v>52</v>
          </cell>
        </row>
        <row r="437">
          <cell r="T437" t="str">
            <v>FCTCONS/ND23/092</v>
          </cell>
          <cell r="U437" t="str">
            <v>STEPHEN AYUBA MUSA</v>
          </cell>
          <cell r="Z437">
            <v>15.5</v>
          </cell>
          <cell r="AA437">
            <v>0</v>
          </cell>
          <cell r="AB437">
            <v>59.5</v>
          </cell>
        </row>
        <row r="438">
          <cell r="T438" t="str">
            <v>FCTCONS/ND23/062</v>
          </cell>
          <cell r="U438" t="str">
            <v>SAMUEL DIVINE</v>
          </cell>
          <cell r="Z438">
            <v>9.5</v>
          </cell>
          <cell r="AA438">
            <v>0</v>
          </cell>
          <cell r="AB438">
            <v>43.5</v>
          </cell>
        </row>
        <row r="439">
          <cell r="T439" t="str">
            <v>FCTCONS/ND23/091</v>
          </cell>
          <cell r="U439" t="str">
            <v>NNODIM JUDE NDUBUISI</v>
          </cell>
          <cell r="Z439">
            <v>14</v>
          </cell>
          <cell r="AA439">
            <v>0</v>
          </cell>
          <cell r="AB439">
            <v>59</v>
          </cell>
        </row>
        <row r="440">
          <cell r="T440" t="str">
            <v>FCTCONS/ND23/003</v>
          </cell>
          <cell r="U440" t="str">
            <v>AKINYEMI OSIEKAFORE ESTHER</v>
          </cell>
          <cell r="Z440">
            <v>13.5</v>
          </cell>
          <cell r="AA440">
            <v>0</v>
          </cell>
          <cell r="AB440">
            <v>56.5</v>
          </cell>
        </row>
        <row r="441">
          <cell r="T441" t="str">
            <v>FCTCONS/ND23/013</v>
          </cell>
          <cell r="U441" t="str">
            <v>PAMDEP JONATHAN IBRAHIM</v>
          </cell>
          <cell r="Z441">
            <v>12.5</v>
          </cell>
          <cell r="AA441">
            <v>0</v>
          </cell>
          <cell r="AB441">
            <v>50</v>
          </cell>
        </row>
        <row r="442">
          <cell r="T442" t="str">
            <v>FCTCONS/ND23/017</v>
          </cell>
          <cell r="U442" t="str">
            <v>SALIU OLUWASEGUN ABDULHAKEEM</v>
          </cell>
          <cell r="Z442">
            <v>13</v>
          </cell>
          <cell r="AA442">
            <v>0</v>
          </cell>
          <cell r="AB442">
            <v>48</v>
          </cell>
        </row>
        <row r="443">
          <cell r="T443" t="str">
            <v>FCTCONS/ND23/040</v>
          </cell>
          <cell r="U443" t="str">
            <v>ANUFORO DEBORAH OLUCHI</v>
          </cell>
          <cell r="Z443">
            <v>14</v>
          </cell>
          <cell r="AA443">
            <v>0</v>
          </cell>
          <cell r="AB443">
            <v>60</v>
          </cell>
        </row>
        <row r="444">
          <cell r="T444" t="str">
            <v>FCTCONS/ND23/121</v>
          </cell>
          <cell r="U444" t="str">
            <v>LONGBA ESTHER EPHRAIM</v>
          </cell>
          <cell r="Z444">
            <v>16</v>
          </cell>
          <cell r="AA444">
            <v>0</v>
          </cell>
          <cell r="AB444">
            <v>56.5</v>
          </cell>
        </row>
        <row r="445">
          <cell r="T445" t="str">
            <v>FCTCONS/ND23/014</v>
          </cell>
          <cell r="U445" t="str">
            <v>OKOLI CHIEMERIE UZOMA</v>
          </cell>
          <cell r="Z445">
            <v>10</v>
          </cell>
          <cell r="AA445">
            <v>0</v>
          </cell>
          <cell r="AB445">
            <v>47.5</v>
          </cell>
        </row>
        <row r="446">
          <cell r="T446" t="str">
            <v>FCTCONS/ND23/066</v>
          </cell>
          <cell r="U446" t="str">
            <v>EDOM JENNIFER CHIAMAKA</v>
          </cell>
          <cell r="Z446">
            <v>10.5</v>
          </cell>
          <cell r="AA446">
            <v>0</v>
          </cell>
          <cell r="AB446">
            <v>51.5</v>
          </cell>
        </row>
        <row r="447">
          <cell r="T447" t="str">
            <v>FCTCONS/ND23/070</v>
          </cell>
          <cell r="U447" t="str">
            <v>OLAYOSOYE MERCY OMOWUNMI</v>
          </cell>
          <cell r="Z447">
            <v>15.5</v>
          </cell>
          <cell r="AA447">
            <v>0</v>
          </cell>
          <cell r="AB447">
            <v>46</v>
          </cell>
        </row>
        <row r="448">
          <cell r="T448" t="str">
            <v>FCTCONS/ND23/007</v>
          </cell>
          <cell r="U448" t="str">
            <v>AZONABOR SARAH OMOSE</v>
          </cell>
          <cell r="Z448">
            <v>13</v>
          </cell>
          <cell r="AA448">
            <v>0</v>
          </cell>
          <cell r="AB448">
            <v>38</v>
          </cell>
        </row>
        <row r="449">
          <cell r="T449" t="str">
            <v>FCTCONS/ND23/019</v>
          </cell>
          <cell r="U449" t="str">
            <v>EGOH DORCAS ISHIYA</v>
          </cell>
          <cell r="Z449">
            <v>14</v>
          </cell>
          <cell r="AA449">
            <v>0</v>
          </cell>
          <cell r="AB449">
            <v>49.5</v>
          </cell>
        </row>
        <row r="450">
          <cell r="T450" t="str">
            <v>FCTCONS/ND23/039</v>
          </cell>
          <cell r="U450" t="str">
            <v>JULIUS JIREH DUNG</v>
          </cell>
          <cell r="Z450">
            <v>12</v>
          </cell>
          <cell r="AA450">
            <v>0</v>
          </cell>
          <cell r="AB450">
            <v>48</v>
          </cell>
        </row>
        <row r="451">
          <cell r="T451" t="str">
            <v>FCTCONS/ND23/010</v>
          </cell>
          <cell r="U451" t="str">
            <v>OGUNDELE ADEDAMOLA BOLUWATIFE</v>
          </cell>
          <cell r="Z451">
            <v>14.5</v>
          </cell>
          <cell r="AA451">
            <v>0</v>
          </cell>
          <cell r="AB451">
            <v>39.5</v>
          </cell>
        </row>
        <row r="452">
          <cell r="T452" t="str">
            <v>FCTCONS/ND23/042</v>
          </cell>
          <cell r="U452" t="str">
            <v>MUHAMMAD ABDULLAHI SAGIR</v>
          </cell>
          <cell r="Z452">
            <v>14.5</v>
          </cell>
          <cell r="AA452">
            <v>0</v>
          </cell>
          <cell r="AB452">
            <v>54.5</v>
          </cell>
        </row>
        <row r="453">
          <cell r="T453" t="str">
            <v>FCTCONS/ND23/063</v>
          </cell>
          <cell r="U453" t="str">
            <v>MAIVA PHEBE THOMAS</v>
          </cell>
          <cell r="Z453">
            <v>12.5</v>
          </cell>
          <cell r="AA453">
            <v>0</v>
          </cell>
          <cell r="AB453">
            <v>48</v>
          </cell>
        </row>
        <row r="454">
          <cell r="T454" t="str">
            <v>FCTCONS/ND23/029</v>
          </cell>
          <cell r="U454" t="str">
            <v>TAIWO FAVOUR TITOBILOLUWA</v>
          </cell>
          <cell r="Z454">
            <v>14</v>
          </cell>
          <cell r="AA454">
            <v>0</v>
          </cell>
          <cell r="AB454">
            <v>52.5</v>
          </cell>
        </row>
        <row r="455">
          <cell r="T455" t="str">
            <v>FCTCONS/ND23/015</v>
          </cell>
          <cell r="U455" t="str">
            <v>AYIM FAITH</v>
          </cell>
          <cell r="Z455">
            <v>9.5</v>
          </cell>
          <cell r="AA455">
            <v>0</v>
          </cell>
          <cell r="AB455">
            <v>47</v>
          </cell>
        </row>
        <row r="456">
          <cell r="T456" t="str">
            <v>FCTCONS/ND23/119</v>
          </cell>
          <cell r="U456" t="str">
            <v>OKPECHI FAITH CHIDIMMA</v>
          </cell>
          <cell r="Z456">
            <v>14</v>
          </cell>
          <cell r="AA456">
            <v>0</v>
          </cell>
          <cell r="AB456">
            <v>51.5</v>
          </cell>
        </row>
        <row r="457">
          <cell r="T457" t="str">
            <v>FCTCONS/ND23/077</v>
          </cell>
          <cell r="U457" t="str">
            <v>IBRAHIM AWA MUTAH</v>
          </cell>
          <cell r="Z457">
            <v>11.5</v>
          </cell>
          <cell r="AA457">
            <v>0</v>
          </cell>
          <cell r="AB457">
            <v>58</v>
          </cell>
        </row>
        <row r="458">
          <cell r="T458" t="str">
            <v>FCTCONS/ND23/021</v>
          </cell>
          <cell r="U458" t="str">
            <v>IBRAHIM MARYAM YESMIN</v>
          </cell>
          <cell r="Z458">
            <v>9.5</v>
          </cell>
          <cell r="AA458">
            <v>0</v>
          </cell>
          <cell r="AB458">
            <v>40</v>
          </cell>
        </row>
        <row r="459">
          <cell r="T459" t="str">
            <v>FCTCONS/ND23/020</v>
          </cell>
          <cell r="U459" t="str">
            <v>IBRAHIM SA'ADATU</v>
          </cell>
          <cell r="Z459">
            <v>14</v>
          </cell>
          <cell r="AA459">
            <v>0</v>
          </cell>
          <cell r="AB459">
            <v>57.5</v>
          </cell>
        </row>
        <row r="460">
          <cell r="T460" t="str">
            <v>FCTCONS/ND23/068</v>
          </cell>
          <cell r="U460" t="str">
            <v>KENNETH GIFT</v>
          </cell>
          <cell r="Z460">
            <v>16.5</v>
          </cell>
          <cell r="AA460">
            <v>0</v>
          </cell>
          <cell r="AB460">
            <v>55.5</v>
          </cell>
        </row>
        <row r="461">
          <cell r="T461" t="str">
            <v>FCTCONS/ND23/038</v>
          </cell>
          <cell r="U461" t="str">
            <v>OBIORAH PRECIOUS IFUNANYA</v>
          </cell>
          <cell r="Z461">
            <v>14</v>
          </cell>
          <cell r="AA461">
            <v>0</v>
          </cell>
          <cell r="AB461">
            <v>51</v>
          </cell>
        </row>
        <row r="462">
          <cell r="T462" t="str">
            <v>FCTCONS/ND23/028</v>
          </cell>
          <cell r="U462" t="str">
            <v>GOWON HAPPINESS</v>
          </cell>
          <cell r="Z462">
            <v>12</v>
          </cell>
          <cell r="AA462">
            <v>0</v>
          </cell>
          <cell r="AB462">
            <v>55</v>
          </cell>
        </row>
        <row r="463">
          <cell r="T463" t="str">
            <v>FCTCONS/ND23/031</v>
          </cell>
          <cell r="U463" t="str">
            <v>EMMANUEL DESTINY ONIZE</v>
          </cell>
          <cell r="Z463">
            <v>14</v>
          </cell>
          <cell r="AA463">
            <v>0</v>
          </cell>
          <cell r="AB463">
            <v>51</v>
          </cell>
        </row>
        <row r="464">
          <cell r="T464" t="str">
            <v>FCTCONS/ND23/052</v>
          </cell>
          <cell r="U464" t="str">
            <v>FIBERESIMA ORAFIRI PETER</v>
          </cell>
          <cell r="Z464">
            <v>10.5</v>
          </cell>
          <cell r="AA464">
            <v>0</v>
          </cell>
          <cell r="AB464">
            <v>42.5</v>
          </cell>
        </row>
        <row r="465">
          <cell r="T465" t="str">
            <v>FCTCONS/ND23/043</v>
          </cell>
          <cell r="U465" t="str">
            <v>AYANDIRAN NANAFIRDAUS TITILOPE</v>
          </cell>
          <cell r="Z465">
            <v>14.5</v>
          </cell>
          <cell r="AA465">
            <v>0</v>
          </cell>
          <cell r="AB465">
            <v>48.5</v>
          </cell>
        </row>
        <row r="466">
          <cell r="T466" t="str">
            <v>FCTCONS/ND23/096</v>
          </cell>
          <cell r="U466" t="str">
            <v>BENJAMIN AMARACHUKWU MARVELOUS</v>
          </cell>
          <cell r="Z466">
            <v>14.5</v>
          </cell>
          <cell r="AA466">
            <v>0</v>
          </cell>
          <cell r="AB466">
            <v>60</v>
          </cell>
        </row>
        <row r="467">
          <cell r="T467" t="str">
            <v>FCTCONS/ND23/030</v>
          </cell>
          <cell r="U467" t="str">
            <v>NWACHUKWU BLESSING IFEOMA</v>
          </cell>
          <cell r="Z467">
            <v>16</v>
          </cell>
          <cell r="AA467">
            <v>0</v>
          </cell>
          <cell r="AB467">
            <v>59.5</v>
          </cell>
        </row>
        <row r="468">
          <cell r="T468" t="str">
            <v>FCTCONS/ND23/124</v>
          </cell>
          <cell r="U468" t="str">
            <v>UMAR FARUK ZAINAB</v>
          </cell>
          <cell r="Z468">
            <v>12.5</v>
          </cell>
          <cell r="AA468">
            <v>0</v>
          </cell>
          <cell r="AB468">
            <v>46.5</v>
          </cell>
        </row>
        <row r="469">
          <cell r="T469" t="str">
            <v>FCTCONS/ND23/041</v>
          </cell>
          <cell r="U469" t="str">
            <v>TYOKYAA VERONICA</v>
          </cell>
          <cell r="Z469">
            <v>13</v>
          </cell>
          <cell r="AA469">
            <v>0</v>
          </cell>
          <cell r="AB469">
            <v>48.5</v>
          </cell>
        </row>
        <row r="470">
          <cell r="T470" t="str">
            <v>FCTCONS/ND23/083</v>
          </cell>
          <cell r="U470" t="str">
            <v>ADAMS SURAYYAT DAHIRU</v>
          </cell>
          <cell r="Z470">
            <v>13</v>
          </cell>
          <cell r="AA470">
            <v>0</v>
          </cell>
          <cell r="AB470">
            <v>45.5</v>
          </cell>
        </row>
        <row r="471">
          <cell r="T471" t="str">
            <v>FCTCONS/ND23/008</v>
          </cell>
          <cell r="U471" t="str">
            <v>ONYESO DAVID CHUKWUDI</v>
          </cell>
          <cell r="Z471">
            <v>11</v>
          </cell>
          <cell r="AA471">
            <v>0</v>
          </cell>
          <cell r="AB471">
            <v>49.5</v>
          </cell>
        </row>
        <row r="472">
          <cell r="T472" t="str">
            <v>FCTCONS/ND23/024</v>
          </cell>
          <cell r="U472" t="str">
            <v>LUKA-ADUWAK ELLEN ZIGWAI</v>
          </cell>
          <cell r="Z472">
            <v>14</v>
          </cell>
          <cell r="AA472">
            <v>0</v>
          </cell>
          <cell r="AB472">
            <v>58.5</v>
          </cell>
        </row>
        <row r="473">
          <cell r="T473" t="str">
            <v>FCTCONS/ND23/093</v>
          </cell>
          <cell r="U473" t="str">
            <v>FRANCIS BEWISE</v>
          </cell>
          <cell r="Z473">
            <v>14</v>
          </cell>
          <cell r="AA473">
            <v>0</v>
          </cell>
          <cell r="AB473">
            <v>58.5</v>
          </cell>
        </row>
        <row r="474">
          <cell r="T474" t="str">
            <v>FCTCONS/ND23/051</v>
          </cell>
          <cell r="U474" t="str">
            <v>JOHN GODRICA ZHINYADA</v>
          </cell>
          <cell r="Z474">
            <v>12.5</v>
          </cell>
          <cell r="AA474">
            <v>0</v>
          </cell>
          <cell r="AB474">
            <v>45</v>
          </cell>
        </row>
        <row r="475">
          <cell r="T475" t="str">
            <v>FCTCONS/ND23/088</v>
          </cell>
          <cell r="U475" t="str">
            <v>NOKOH KELLY IGHOWHO</v>
          </cell>
          <cell r="Z475">
            <v>13.5</v>
          </cell>
          <cell r="AA475">
            <v>0</v>
          </cell>
          <cell r="AB475">
            <v>57.5</v>
          </cell>
        </row>
        <row r="476">
          <cell r="T476" t="str">
            <v>FCTCONS/ND23/115</v>
          </cell>
          <cell r="U476" t="str">
            <v>OGETTE DEBORAH AFENOSOMI</v>
          </cell>
          <cell r="Z476">
            <v>13.5</v>
          </cell>
          <cell r="AA476">
            <v>0</v>
          </cell>
          <cell r="AB476">
            <v>53.5</v>
          </cell>
        </row>
        <row r="477">
          <cell r="T477" t="str">
            <v>FCTCONS/ND23/110</v>
          </cell>
          <cell r="U477" t="str">
            <v>DENNIS EMMANUEL OLOCHE</v>
          </cell>
          <cell r="Z477">
            <v>11.5</v>
          </cell>
          <cell r="AA477">
            <v>0</v>
          </cell>
          <cell r="AB477">
            <v>35</v>
          </cell>
        </row>
        <row r="478">
          <cell r="T478" t="str">
            <v>FCTCONS/ND23/089</v>
          </cell>
          <cell r="U478" t="str">
            <v>WALKER CASSANDRA OGHENEBRORHIE</v>
          </cell>
          <cell r="Z478">
            <v>16.5</v>
          </cell>
          <cell r="AA478">
            <v>0</v>
          </cell>
          <cell r="AB478">
            <v>61</v>
          </cell>
        </row>
        <row r="479">
          <cell r="T479" t="str">
            <v>FCTCONS/ND23/074</v>
          </cell>
          <cell r="U479" t="str">
            <v>ISAH HAFSAT ONAYI</v>
          </cell>
          <cell r="Z479">
            <v>12.5</v>
          </cell>
          <cell r="AA479">
            <v>0</v>
          </cell>
          <cell r="AB479">
            <v>57</v>
          </cell>
        </row>
        <row r="480">
          <cell r="T480" t="str">
            <v>FCTCONS/ND23/090</v>
          </cell>
          <cell r="U480" t="str">
            <v>MOSES STELLA AJUMA</v>
          </cell>
          <cell r="Z480">
            <v>15</v>
          </cell>
          <cell r="AA480">
            <v>0</v>
          </cell>
          <cell r="AB480">
            <v>65</v>
          </cell>
        </row>
        <row r="481">
          <cell r="T481" t="str">
            <v>FCTCONS/ND23/001</v>
          </cell>
          <cell r="U481" t="str">
            <v>IBIAM CHINYERE IFEOMA</v>
          </cell>
          <cell r="Z481">
            <v>15.5</v>
          </cell>
          <cell r="AA481">
            <v>0</v>
          </cell>
          <cell r="AB481">
            <v>58</v>
          </cell>
        </row>
        <row r="482">
          <cell r="T482" t="str">
            <v>FCTCONS/ND23/048</v>
          </cell>
          <cell r="U482" t="str">
            <v>NNOBA PAMELA UDOCHUKWU</v>
          </cell>
          <cell r="Z482">
            <v>16</v>
          </cell>
          <cell r="AA482">
            <v>0</v>
          </cell>
          <cell r="AB482">
            <v>54.5</v>
          </cell>
        </row>
        <row r="483">
          <cell r="T483" t="str">
            <v>FCTCONS/ND23/057</v>
          </cell>
          <cell r="U483" t="str">
            <v>MAHMUD AISHA</v>
          </cell>
          <cell r="Z483">
            <v>13</v>
          </cell>
          <cell r="AA483">
            <v>0</v>
          </cell>
          <cell r="AB483">
            <v>49.5</v>
          </cell>
        </row>
        <row r="484">
          <cell r="T484" t="str">
            <v>FCTCONS/ND23/087</v>
          </cell>
          <cell r="U484" t="str">
            <v>RICKSON REJOICE USOKO</v>
          </cell>
          <cell r="Z484">
            <v>9.5</v>
          </cell>
          <cell r="AA484">
            <v>0</v>
          </cell>
          <cell r="AB484">
            <v>32</v>
          </cell>
        </row>
        <row r="485">
          <cell r="T485" t="str">
            <v>FCTCONS/ND23/064</v>
          </cell>
          <cell r="U485" t="str">
            <v>ISAAC OBEDIENCE SHEKWO'AGU</v>
          </cell>
          <cell r="Z485">
            <v>14</v>
          </cell>
          <cell r="AA485">
            <v>0</v>
          </cell>
          <cell r="AB485">
            <v>54.5</v>
          </cell>
        </row>
        <row r="486">
          <cell r="T486" t="str">
            <v>FCTCONS/ND23/103</v>
          </cell>
          <cell r="U486" t="str">
            <v>DAN-ASABE PEACE</v>
          </cell>
          <cell r="Z486">
            <v>11</v>
          </cell>
          <cell r="AA486">
            <v>0</v>
          </cell>
          <cell r="AB486">
            <v>48.5</v>
          </cell>
        </row>
        <row r="487">
          <cell r="T487" t="str">
            <v>FCTCONS/ND23/102</v>
          </cell>
          <cell r="U487" t="str">
            <v>MUHAMMAD FATIMA SANTALI</v>
          </cell>
          <cell r="Z487">
            <v>12.5</v>
          </cell>
          <cell r="AA487">
            <v>0</v>
          </cell>
          <cell r="AB487">
            <v>55</v>
          </cell>
        </row>
        <row r="488">
          <cell r="T488" t="str">
            <v>FCTCONS/ND23/109</v>
          </cell>
          <cell r="U488" t="str">
            <v>MUHAMMAD RAHAMAT ALKALI</v>
          </cell>
          <cell r="Z488">
            <v>15</v>
          </cell>
          <cell r="AA488">
            <v>0</v>
          </cell>
          <cell r="AB488">
            <v>59</v>
          </cell>
        </row>
        <row r="489">
          <cell r="T489" t="str">
            <v>FCTCONS/ND23/011</v>
          </cell>
          <cell r="U489" t="str">
            <v>ISAH USMAN ILIYASU</v>
          </cell>
          <cell r="Z489">
            <v>14</v>
          </cell>
          <cell r="AA489">
            <v>0</v>
          </cell>
          <cell r="AB489">
            <v>46</v>
          </cell>
        </row>
        <row r="490">
          <cell r="T490" t="str">
            <v>FCTCONS/ND23/075</v>
          </cell>
          <cell r="U490" t="str">
            <v>CHUKWUNEE FAVOUR CHIDINMA</v>
          </cell>
          <cell r="Z490">
            <v>13.5</v>
          </cell>
          <cell r="AA490">
            <v>0</v>
          </cell>
          <cell r="AB490">
            <v>54</v>
          </cell>
        </row>
        <row r="491">
          <cell r="T491" t="str">
            <v>FCTCONS/ND23/006</v>
          </cell>
          <cell r="U491" t="str">
            <v>JAMES ABIGAIL AKAITO</v>
          </cell>
          <cell r="Z491">
            <v>14.5</v>
          </cell>
          <cell r="AA491">
            <v>0</v>
          </cell>
          <cell r="AB491">
            <v>48</v>
          </cell>
        </row>
        <row r="492">
          <cell r="T492" t="str">
            <v>FCTCONS/ND23/005</v>
          </cell>
          <cell r="U492" t="str">
            <v>LENKA NENRIT HANNAH</v>
          </cell>
          <cell r="Z492">
            <v>13.5</v>
          </cell>
          <cell r="AA492">
            <v>0</v>
          </cell>
          <cell r="AB492">
            <v>55</v>
          </cell>
        </row>
        <row r="493">
          <cell r="T493" t="str">
            <v>FCTCONS/ND23/114</v>
          </cell>
          <cell r="U493" t="str">
            <v>YAKUBU PRISCILLA ASHEZIE</v>
          </cell>
          <cell r="Z493">
            <v>9</v>
          </cell>
          <cell r="AA493">
            <v>0</v>
          </cell>
          <cell r="AB493">
            <v>39</v>
          </cell>
        </row>
        <row r="494">
          <cell r="T494" t="str">
            <v>FCTCONS/ND23/127</v>
          </cell>
          <cell r="U494" t="str">
            <v>PETER FAITH ADA</v>
          </cell>
          <cell r="Z494">
            <v>12.5</v>
          </cell>
          <cell r="AA494">
            <v>0</v>
          </cell>
          <cell r="AB494">
            <v>35.5</v>
          </cell>
        </row>
        <row r="495">
          <cell r="T495" t="str">
            <v>FCTCONS/ND23/022</v>
          </cell>
          <cell r="U495" t="str">
            <v>NKEMAKOLAM PRINCESS SOMTOCHUKWU</v>
          </cell>
          <cell r="Z495">
            <v>13.5</v>
          </cell>
          <cell r="AA495">
            <v>0</v>
          </cell>
          <cell r="AB495">
            <v>54.5</v>
          </cell>
        </row>
        <row r="496">
          <cell r="T496" t="str">
            <v>FCTCONS/ND23/004</v>
          </cell>
          <cell r="U496" t="str">
            <v>OFIKWU MARTHA OGWA</v>
          </cell>
          <cell r="Z496">
            <v>13</v>
          </cell>
          <cell r="AA496">
            <v>0</v>
          </cell>
          <cell r="AB496">
            <v>60</v>
          </cell>
        </row>
        <row r="497">
          <cell r="T497" t="str">
            <v>FCTCONS/ND23/037</v>
          </cell>
          <cell r="U497" t="str">
            <v>ONWUKWE WENDY EBERECHI</v>
          </cell>
          <cell r="Z497">
            <v>13.5</v>
          </cell>
          <cell r="AA497">
            <v>0</v>
          </cell>
          <cell r="AB497">
            <v>50.5</v>
          </cell>
        </row>
        <row r="498">
          <cell r="T498" t="str">
            <v>FCTCONS/ND23/104</v>
          </cell>
          <cell r="U498" t="str">
            <v>NWAKA WINNING ISIOMA</v>
          </cell>
          <cell r="Z498">
            <v>15.5</v>
          </cell>
          <cell r="AA498">
            <v>0</v>
          </cell>
          <cell r="AB498">
            <v>58.5</v>
          </cell>
        </row>
        <row r="499">
          <cell r="T499" t="str">
            <v>FCTCONS/ND23/034</v>
          </cell>
          <cell r="U499" t="str">
            <v>OMODARA FAVOUR OLUWABUKOLA</v>
          </cell>
          <cell r="Z499">
            <v>9.5</v>
          </cell>
          <cell r="AA499">
            <v>0</v>
          </cell>
          <cell r="AB499">
            <v>54.5</v>
          </cell>
        </row>
        <row r="500">
          <cell r="T500" t="str">
            <v>FCTCONS/ND23/106</v>
          </cell>
          <cell r="U500" t="str">
            <v>ADEBISI OLUWABUKUNMI MARY</v>
          </cell>
          <cell r="Z500">
            <v>14.5</v>
          </cell>
          <cell r="AA500">
            <v>0</v>
          </cell>
          <cell r="AB500">
            <v>49</v>
          </cell>
        </row>
        <row r="501">
          <cell r="T501" t="str">
            <v>FCTCONS/ND23/117</v>
          </cell>
          <cell r="U501" t="str">
            <v>SYLVESTER FLOURISH</v>
          </cell>
          <cell r="Z501">
            <v>11</v>
          </cell>
          <cell r="AA501">
            <v>0</v>
          </cell>
          <cell r="AB501">
            <v>52.5</v>
          </cell>
        </row>
        <row r="502">
          <cell r="T502" t="str">
            <v>FCTCONS/ND23/044</v>
          </cell>
          <cell r="U502" t="str">
            <v>SANI MARY GOBIR</v>
          </cell>
          <cell r="Z502">
            <v>12.5</v>
          </cell>
          <cell r="AA502">
            <v>0</v>
          </cell>
          <cell r="AB502">
            <v>52.5</v>
          </cell>
        </row>
        <row r="503">
          <cell r="T503" t="str">
            <v>FCTCONS/ND23/085</v>
          </cell>
          <cell r="U503" t="str">
            <v>FADUM MERIT</v>
          </cell>
          <cell r="Z503">
            <v>13.5</v>
          </cell>
          <cell r="AA503">
            <v>0</v>
          </cell>
          <cell r="AB503">
            <v>54</v>
          </cell>
        </row>
        <row r="504">
          <cell r="T504" t="str">
            <v>FCTCONS/ND23/025</v>
          </cell>
          <cell r="U504" t="str">
            <v>JACOB JEREMIAH FUNOM</v>
          </cell>
          <cell r="Z504">
            <v>11.5</v>
          </cell>
          <cell r="AA504">
            <v>0</v>
          </cell>
          <cell r="AB504">
            <v>40.5</v>
          </cell>
        </row>
        <row r="505">
          <cell r="T505" t="str">
            <v>FCTCONS/ND23/118</v>
          </cell>
          <cell r="U505" t="str">
            <v>OGBONNAYA MERCY ONYENATURUCHI</v>
          </cell>
          <cell r="Z505">
            <v>12</v>
          </cell>
          <cell r="AA505">
            <v>0</v>
          </cell>
          <cell r="AB505">
            <v>53.5</v>
          </cell>
        </row>
        <row r="506">
          <cell r="T506" t="str">
            <v>FCTCONS/ND23/027</v>
          </cell>
          <cell r="U506" t="str">
            <v>JEREMIAH GRACE MGBEDE</v>
          </cell>
          <cell r="Z506">
            <v>15</v>
          </cell>
          <cell r="AA506">
            <v>0</v>
          </cell>
          <cell r="AB506">
            <v>59.5</v>
          </cell>
        </row>
        <row r="507">
          <cell r="T507" t="str">
            <v>FCTCONS/ND23/100</v>
          </cell>
          <cell r="U507" t="str">
            <v>USEN ESTHER NSEYO</v>
          </cell>
          <cell r="Z507">
            <v>13.5</v>
          </cell>
          <cell r="AA507">
            <v>0</v>
          </cell>
          <cell r="AB507">
            <v>51.5</v>
          </cell>
        </row>
        <row r="508">
          <cell r="T508" t="str">
            <v>FCTCONS/ND23/060</v>
          </cell>
          <cell r="U508" t="str">
            <v>PIE-NOAH COVENANT SUKA</v>
          </cell>
          <cell r="Z508">
            <v>13</v>
          </cell>
          <cell r="AA508">
            <v>0</v>
          </cell>
          <cell r="AB508">
            <v>45.5</v>
          </cell>
        </row>
        <row r="509">
          <cell r="T509" t="str">
            <v>FCTCONS/ND23/107</v>
          </cell>
          <cell r="U509" t="str">
            <v>SALAUDEEN MARIAM ABIOLA</v>
          </cell>
          <cell r="Z509">
            <v>13.5</v>
          </cell>
          <cell r="AA509">
            <v>0</v>
          </cell>
          <cell r="AB509">
            <v>53</v>
          </cell>
        </row>
        <row r="510">
          <cell r="T510" t="str">
            <v>FCTCONS/ND23/072</v>
          </cell>
          <cell r="U510" t="str">
            <v>IRABOR AIZEHINOMOH DEBORAH</v>
          </cell>
          <cell r="Z510">
            <v>11.5</v>
          </cell>
          <cell r="AA510">
            <v>0</v>
          </cell>
          <cell r="AB510">
            <v>57.5</v>
          </cell>
        </row>
        <row r="511">
          <cell r="T511" t="str">
            <v>FCTCONS/ND23/105</v>
          </cell>
          <cell r="U511" t="str">
            <v>ABUBAKAR SHULAMITE OJONIMI</v>
          </cell>
          <cell r="Z511">
            <v>12</v>
          </cell>
          <cell r="AA511">
            <v>0</v>
          </cell>
          <cell r="AB511">
            <v>52</v>
          </cell>
        </row>
        <row r="512">
          <cell r="T512" t="str">
            <v>FCTCONS/ND23/125</v>
          </cell>
          <cell r="U512" t="str">
            <v>SUNDAY JENNIFER IKECHUKWU</v>
          </cell>
          <cell r="Z512">
            <v>14</v>
          </cell>
          <cell r="AA512">
            <v>0</v>
          </cell>
          <cell r="AB512">
            <v>60</v>
          </cell>
        </row>
        <row r="513">
          <cell r="T513" t="str">
            <v>FCTCONS/ND23/016</v>
          </cell>
          <cell r="U513" t="str">
            <v>UGWU PATIENCE CHINYENYE</v>
          </cell>
          <cell r="Z513">
            <v>12.5</v>
          </cell>
          <cell r="AA513">
            <v>0</v>
          </cell>
          <cell r="AB513">
            <v>57.5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opLeftCell="B1" workbookViewId="0">
      <selection activeCell="I14" sqref="I14"/>
    </sheetView>
  </sheetViews>
  <sheetFormatPr defaultRowHeight="14.5" x14ac:dyDescent="0.35"/>
  <cols>
    <col min="1" max="1" width="3.81640625" bestFit="1" customWidth="1"/>
    <col min="2" max="2" width="23" customWidth="1"/>
    <col min="3" max="3" width="48.26953125" customWidth="1"/>
    <col min="4" max="4" width="17.81640625" bestFit="1" customWidth="1"/>
    <col min="5" max="5" width="22.453125" bestFit="1" customWidth="1"/>
    <col min="6" max="6" width="27.1796875" bestFit="1" customWidth="1"/>
    <col min="7" max="7" width="22.54296875" bestFit="1" customWidth="1"/>
    <col min="8" max="8" width="17.81640625" bestFit="1" customWidth="1"/>
    <col min="9" max="9" width="20.54296875" bestFit="1" customWidth="1"/>
    <col min="10" max="10" width="14.81640625" bestFit="1" customWidth="1"/>
    <col min="11" max="11" width="19.7265625" bestFit="1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s="1" t="s">
        <v>11</v>
      </c>
      <c r="C2" s="1" t="s">
        <v>12</v>
      </c>
      <c r="D2">
        <v>17.5</v>
      </c>
      <c r="E2">
        <v>14.13</v>
      </c>
      <c r="F2">
        <v>11.200000000000001</v>
      </c>
      <c r="G2">
        <v>18</v>
      </c>
      <c r="H2">
        <v>11.6</v>
      </c>
      <c r="I2">
        <v>11.299999999999999</v>
      </c>
      <c r="J2">
        <v>13.200000000000001</v>
      </c>
      <c r="K2">
        <v>11</v>
      </c>
    </row>
    <row r="3" spans="1:11" ht="15.75" x14ac:dyDescent="0.25">
      <c r="A3">
        <v>2</v>
      </c>
      <c r="B3" s="1" t="s">
        <v>13</v>
      </c>
      <c r="C3" s="1" t="s">
        <v>14</v>
      </c>
      <c r="D3">
        <v>16</v>
      </c>
      <c r="E3">
        <v>12.63</v>
      </c>
      <c r="F3">
        <v>9.2000000000000011</v>
      </c>
      <c r="G3">
        <v>16</v>
      </c>
      <c r="H3">
        <v>11.299999999999999</v>
      </c>
      <c r="I3">
        <v>10</v>
      </c>
      <c r="J3">
        <v>9.3000000000000007</v>
      </c>
      <c r="K3">
        <v>11</v>
      </c>
    </row>
    <row r="4" spans="1:11" ht="15.75" x14ac:dyDescent="0.25">
      <c r="A4">
        <v>3</v>
      </c>
      <c r="B4" s="1" t="s">
        <v>15</v>
      </c>
      <c r="C4" s="1" t="s">
        <v>16</v>
      </c>
      <c r="D4">
        <v>15.63</v>
      </c>
      <c r="E4">
        <v>13.75</v>
      </c>
      <c r="F4">
        <v>10</v>
      </c>
      <c r="G4">
        <v>18</v>
      </c>
      <c r="H4">
        <v>12</v>
      </c>
      <c r="I4">
        <v>9.6999999999999993</v>
      </c>
      <c r="J4">
        <v>11.399999999999999</v>
      </c>
      <c r="K4">
        <v>11</v>
      </c>
    </row>
    <row r="5" spans="1:11" ht="15.75" x14ac:dyDescent="0.25">
      <c r="A5">
        <v>4</v>
      </c>
      <c r="B5" s="1" t="s">
        <v>17</v>
      </c>
      <c r="C5" s="1" t="s">
        <v>18</v>
      </c>
      <c r="D5">
        <v>14.5</v>
      </c>
      <c r="E5">
        <v>12.63</v>
      </c>
      <c r="F5">
        <v>10.199999999999999</v>
      </c>
      <c r="G5">
        <v>16</v>
      </c>
      <c r="H5">
        <v>11</v>
      </c>
      <c r="I5">
        <v>9.3000000000000007</v>
      </c>
      <c r="J5">
        <v>11.399999999999999</v>
      </c>
      <c r="K5">
        <v>11</v>
      </c>
    </row>
    <row r="6" spans="1:11" ht="15.75" x14ac:dyDescent="0.25">
      <c r="A6">
        <v>5</v>
      </c>
      <c r="B6" s="1" t="s">
        <v>19</v>
      </c>
      <c r="C6" s="1" t="s">
        <v>20</v>
      </c>
      <c r="D6">
        <v>14.13</v>
      </c>
      <c r="E6">
        <v>13.38</v>
      </c>
      <c r="F6">
        <v>11.200000000000001</v>
      </c>
      <c r="G6">
        <v>12</v>
      </c>
      <c r="H6">
        <v>9.6</v>
      </c>
      <c r="I6">
        <v>7.1999999999999993</v>
      </c>
      <c r="J6">
        <v>10.8</v>
      </c>
      <c r="K6">
        <v>11</v>
      </c>
    </row>
    <row r="7" spans="1:11" ht="15.75" x14ac:dyDescent="0.25">
      <c r="A7">
        <v>6</v>
      </c>
      <c r="B7" s="1" t="s">
        <v>21</v>
      </c>
      <c r="C7" s="1" t="s">
        <v>22</v>
      </c>
      <c r="D7">
        <v>18.25</v>
      </c>
      <c r="E7">
        <v>16.75</v>
      </c>
      <c r="F7">
        <v>10.199999999999999</v>
      </c>
      <c r="G7">
        <v>16</v>
      </c>
      <c r="H7">
        <v>7.6</v>
      </c>
      <c r="I7">
        <v>10.4</v>
      </c>
      <c r="J7">
        <v>11.299999999999999</v>
      </c>
      <c r="K7">
        <v>11</v>
      </c>
    </row>
    <row r="8" spans="1:11" ht="15.75" x14ac:dyDescent="0.25">
      <c r="A8">
        <v>7</v>
      </c>
      <c r="B8" s="1" t="s">
        <v>23</v>
      </c>
      <c r="C8" s="1" t="s">
        <v>24</v>
      </c>
      <c r="D8">
        <v>14.5</v>
      </c>
      <c r="E8">
        <v>11.5</v>
      </c>
      <c r="F8">
        <v>9.6</v>
      </c>
      <c r="G8">
        <v>14</v>
      </c>
      <c r="H8">
        <v>9.9</v>
      </c>
      <c r="I8">
        <v>8.8000000000000007</v>
      </c>
      <c r="J8">
        <v>10.4</v>
      </c>
      <c r="K8">
        <v>11</v>
      </c>
    </row>
    <row r="9" spans="1:11" ht="15.75" x14ac:dyDescent="0.25">
      <c r="A9">
        <v>8</v>
      </c>
      <c r="B9" s="1" t="s">
        <v>25</v>
      </c>
      <c r="C9" s="1" t="s">
        <v>26</v>
      </c>
      <c r="D9">
        <v>13.38</v>
      </c>
      <c r="E9">
        <v>11.88</v>
      </c>
      <c r="F9">
        <v>9.8000000000000007</v>
      </c>
      <c r="G9">
        <v>16</v>
      </c>
      <c r="H9">
        <v>7.9</v>
      </c>
      <c r="I9">
        <v>9.6</v>
      </c>
      <c r="J9">
        <v>11.899999999999999</v>
      </c>
      <c r="K9">
        <v>11</v>
      </c>
    </row>
    <row r="10" spans="1:11" ht="15.75" x14ac:dyDescent="0.25">
      <c r="A10">
        <v>9</v>
      </c>
      <c r="B10" s="1" t="s">
        <v>27</v>
      </c>
      <c r="C10" s="1" t="s">
        <v>28</v>
      </c>
      <c r="D10">
        <v>17.13</v>
      </c>
      <c r="E10">
        <v>15.25</v>
      </c>
      <c r="F10">
        <v>10.4</v>
      </c>
      <c r="G10">
        <v>14</v>
      </c>
      <c r="H10">
        <v>9.2000000000000011</v>
      </c>
      <c r="I10">
        <v>10.5</v>
      </c>
      <c r="J10">
        <v>11</v>
      </c>
      <c r="K10">
        <v>11</v>
      </c>
    </row>
    <row r="11" spans="1:11" ht="15.75" x14ac:dyDescent="0.25">
      <c r="A11">
        <v>10</v>
      </c>
      <c r="B11" s="1" t="s">
        <v>29</v>
      </c>
      <c r="C11" s="1" t="s">
        <v>30</v>
      </c>
      <c r="D11">
        <v>16.75</v>
      </c>
      <c r="E11">
        <v>14.88</v>
      </c>
      <c r="F11">
        <v>11</v>
      </c>
      <c r="G11">
        <v>18</v>
      </c>
      <c r="H11">
        <v>10</v>
      </c>
      <c r="I11">
        <v>9.3999999999999986</v>
      </c>
      <c r="J11">
        <v>10.5</v>
      </c>
      <c r="K11">
        <v>11</v>
      </c>
    </row>
    <row r="12" spans="1:11" ht="15.75" x14ac:dyDescent="0.25">
      <c r="A12">
        <v>11</v>
      </c>
      <c r="B12" s="1" t="s">
        <v>31</v>
      </c>
      <c r="C12" s="1" t="s">
        <v>32</v>
      </c>
      <c r="D12">
        <v>13.75</v>
      </c>
      <c r="E12">
        <v>11.5</v>
      </c>
      <c r="F12">
        <v>8.4</v>
      </c>
      <c r="G12">
        <v>10</v>
      </c>
      <c r="H12">
        <v>9.5</v>
      </c>
      <c r="I12">
        <v>8.5</v>
      </c>
      <c r="J12">
        <v>9.6999999999999993</v>
      </c>
      <c r="K12">
        <v>11</v>
      </c>
    </row>
    <row r="13" spans="1:11" ht="16" x14ac:dyDescent="0.4">
      <c r="A13">
        <v>12</v>
      </c>
      <c r="B13" s="1" t="s">
        <v>33</v>
      </c>
      <c r="C13" s="1" t="s">
        <v>34</v>
      </c>
      <c r="D13">
        <v>14.13</v>
      </c>
      <c r="E13">
        <v>12.63</v>
      </c>
      <c r="F13">
        <v>9.8000000000000007</v>
      </c>
      <c r="G13">
        <v>16</v>
      </c>
      <c r="H13">
        <v>9.3999999999999986</v>
      </c>
      <c r="I13" s="2" t="s">
        <v>200</v>
      </c>
      <c r="J13">
        <v>11.100000000000001</v>
      </c>
      <c r="K13">
        <v>11</v>
      </c>
    </row>
    <row r="14" spans="1:11" ht="16" x14ac:dyDescent="0.4">
      <c r="A14">
        <v>13</v>
      </c>
      <c r="B14" s="1" t="s">
        <v>35</v>
      </c>
      <c r="C14" s="1" t="s">
        <v>36</v>
      </c>
      <c r="D14">
        <v>17.5</v>
      </c>
      <c r="E14">
        <v>12.25</v>
      </c>
      <c r="F14">
        <v>10.4</v>
      </c>
      <c r="G14">
        <v>18</v>
      </c>
      <c r="H14">
        <v>11.5</v>
      </c>
      <c r="I14" s="2" t="s">
        <v>200</v>
      </c>
      <c r="J14">
        <v>12.3</v>
      </c>
      <c r="K14">
        <v>11</v>
      </c>
    </row>
    <row r="15" spans="1:11" ht="15.75" x14ac:dyDescent="0.25">
      <c r="A15">
        <v>14</v>
      </c>
      <c r="B15" s="1" t="s">
        <v>37</v>
      </c>
      <c r="C15" s="1" t="s">
        <v>38</v>
      </c>
      <c r="D15">
        <v>14.5</v>
      </c>
      <c r="E15">
        <v>13.38</v>
      </c>
      <c r="F15">
        <v>8.6</v>
      </c>
      <c r="G15">
        <v>16</v>
      </c>
      <c r="H15">
        <v>9.6</v>
      </c>
      <c r="I15">
        <v>8.6</v>
      </c>
      <c r="J15">
        <v>8.1999999999999993</v>
      </c>
      <c r="K15">
        <v>11</v>
      </c>
    </row>
    <row r="16" spans="1:11" ht="15.75" x14ac:dyDescent="0.25">
      <c r="A16">
        <v>15</v>
      </c>
      <c r="B16" s="1" t="s">
        <v>39</v>
      </c>
      <c r="C16" s="1" t="s">
        <v>40</v>
      </c>
      <c r="D16">
        <v>15.25</v>
      </c>
      <c r="E16">
        <v>11.88</v>
      </c>
      <c r="F16">
        <v>9.6</v>
      </c>
      <c r="G16">
        <v>10</v>
      </c>
      <c r="H16">
        <v>9.9</v>
      </c>
      <c r="I16">
        <v>9.3999999999999986</v>
      </c>
      <c r="J16">
        <v>10.3</v>
      </c>
      <c r="K16">
        <v>11</v>
      </c>
    </row>
    <row r="17" spans="1:11" ht="15.75" x14ac:dyDescent="0.25">
      <c r="A17">
        <v>16</v>
      </c>
      <c r="B17" s="1" t="s">
        <v>41</v>
      </c>
      <c r="C17" s="1" t="s">
        <v>42</v>
      </c>
      <c r="D17">
        <v>16.38</v>
      </c>
      <c r="E17">
        <v>11.5</v>
      </c>
      <c r="F17">
        <v>9.8000000000000007</v>
      </c>
      <c r="G17">
        <v>12</v>
      </c>
      <c r="H17">
        <v>11.5</v>
      </c>
      <c r="I17">
        <v>10.8</v>
      </c>
      <c r="J17">
        <v>10.199999999999999</v>
      </c>
      <c r="K17">
        <v>11</v>
      </c>
    </row>
    <row r="18" spans="1:11" ht="15.75" x14ac:dyDescent="0.25">
      <c r="A18">
        <v>17</v>
      </c>
      <c r="B18" s="1" t="s">
        <v>43</v>
      </c>
      <c r="C18" s="1" t="s">
        <v>44</v>
      </c>
      <c r="D18">
        <v>14.13</v>
      </c>
      <c r="E18">
        <v>12.63</v>
      </c>
      <c r="F18">
        <v>8.8000000000000007</v>
      </c>
      <c r="G18">
        <v>14</v>
      </c>
      <c r="H18">
        <v>8</v>
      </c>
      <c r="I18">
        <v>8.2999999999999989</v>
      </c>
      <c r="J18">
        <v>9.6999999999999993</v>
      </c>
      <c r="K18">
        <v>11</v>
      </c>
    </row>
    <row r="19" spans="1:11" ht="15.75" x14ac:dyDescent="0.25">
      <c r="A19">
        <v>18</v>
      </c>
      <c r="B19" s="1" t="s">
        <v>45</v>
      </c>
      <c r="C19" s="1" t="s">
        <v>46</v>
      </c>
      <c r="D19">
        <v>12.63</v>
      </c>
      <c r="E19">
        <v>12.63</v>
      </c>
      <c r="F19">
        <v>9.8000000000000007</v>
      </c>
      <c r="G19">
        <v>16</v>
      </c>
      <c r="H19">
        <v>10.9</v>
      </c>
      <c r="I19">
        <v>9.3000000000000007</v>
      </c>
      <c r="J19">
        <v>10.3</v>
      </c>
      <c r="K19">
        <v>11</v>
      </c>
    </row>
    <row r="20" spans="1:11" ht="15.75" x14ac:dyDescent="0.25">
      <c r="A20">
        <v>19</v>
      </c>
      <c r="B20" s="1" t="s">
        <v>47</v>
      </c>
      <c r="C20" s="1" t="s">
        <v>48</v>
      </c>
      <c r="D20">
        <v>13.75</v>
      </c>
      <c r="E20">
        <v>12.63</v>
      </c>
      <c r="F20">
        <v>9</v>
      </c>
      <c r="G20">
        <v>16</v>
      </c>
      <c r="H20">
        <v>11.7</v>
      </c>
      <c r="I20">
        <v>8.4</v>
      </c>
      <c r="J20">
        <v>10.600000000000001</v>
      </c>
      <c r="K20">
        <v>11</v>
      </c>
    </row>
    <row r="21" spans="1:11" ht="16" x14ac:dyDescent="0.4">
      <c r="A21">
        <v>20</v>
      </c>
      <c r="B21" s="1" t="s">
        <v>49</v>
      </c>
      <c r="C21" s="1" t="s">
        <v>50</v>
      </c>
      <c r="D21">
        <v>12.25</v>
      </c>
      <c r="E21">
        <v>13</v>
      </c>
      <c r="F21">
        <v>8.6</v>
      </c>
      <c r="G21">
        <v>14</v>
      </c>
      <c r="H21">
        <v>8.1000000000000014</v>
      </c>
      <c r="I21" s="2" t="s">
        <v>200</v>
      </c>
      <c r="J21">
        <v>11.100000000000001</v>
      </c>
      <c r="K21">
        <v>11</v>
      </c>
    </row>
    <row r="22" spans="1:11" ht="15.75" x14ac:dyDescent="0.25">
      <c r="A22">
        <v>21</v>
      </c>
      <c r="B22" s="1" t="s">
        <v>51</v>
      </c>
      <c r="C22" s="1" t="s">
        <v>52</v>
      </c>
      <c r="D22">
        <v>15.63</v>
      </c>
      <c r="E22">
        <v>13.38</v>
      </c>
      <c r="F22">
        <v>9.3999999999999986</v>
      </c>
      <c r="G22">
        <v>0</v>
      </c>
      <c r="H22">
        <v>11.899999999999999</v>
      </c>
      <c r="I22">
        <v>10</v>
      </c>
      <c r="J22">
        <v>9.5</v>
      </c>
      <c r="K22">
        <v>11</v>
      </c>
    </row>
    <row r="23" spans="1:11" ht="15.75" x14ac:dyDescent="0.25">
      <c r="A23">
        <v>22</v>
      </c>
      <c r="B23" s="1" t="s">
        <v>53</v>
      </c>
      <c r="C23" s="1" t="s">
        <v>54</v>
      </c>
      <c r="D23">
        <v>18.25</v>
      </c>
      <c r="E23">
        <v>16.38</v>
      </c>
      <c r="F23">
        <v>9</v>
      </c>
      <c r="G23">
        <v>14</v>
      </c>
      <c r="H23">
        <v>11</v>
      </c>
      <c r="I23">
        <v>8.6</v>
      </c>
      <c r="J23">
        <v>11.5</v>
      </c>
      <c r="K23">
        <v>11</v>
      </c>
    </row>
    <row r="24" spans="1:11" ht="15.75" x14ac:dyDescent="0.25">
      <c r="A24">
        <v>23</v>
      </c>
      <c r="B24" s="1" t="s">
        <v>55</v>
      </c>
      <c r="C24" s="1" t="s">
        <v>56</v>
      </c>
      <c r="D24">
        <v>14.88</v>
      </c>
      <c r="E24">
        <v>14.13</v>
      </c>
      <c r="F24">
        <v>7.1999999999999993</v>
      </c>
      <c r="G24">
        <v>18</v>
      </c>
      <c r="H24">
        <v>10.5</v>
      </c>
      <c r="I24">
        <v>8</v>
      </c>
      <c r="J24">
        <v>9.9</v>
      </c>
      <c r="K24">
        <v>11</v>
      </c>
    </row>
    <row r="25" spans="1:11" ht="15.75" x14ac:dyDescent="0.25">
      <c r="A25">
        <v>24</v>
      </c>
      <c r="B25" s="1" t="s">
        <v>57</v>
      </c>
      <c r="C25" s="1" t="s">
        <v>58</v>
      </c>
      <c r="D25">
        <v>18.63</v>
      </c>
      <c r="E25">
        <v>17.13</v>
      </c>
      <c r="F25">
        <v>10</v>
      </c>
      <c r="G25">
        <v>10</v>
      </c>
      <c r="H25">
        <v>11.899999999999999</v>
      </c>
      <c r="I25">
        <v>10.1</v>
      </c>
      <c r="J25">
        <v>11.6</v>
      </c>
      <c r="K25">
        <v>11</v>
      </c>
    </row>
    <row r="26" spans="1:11" ht="16" x14ac:dyDescent="0.4">
      <c r="A26">
        <v>25</v>
      </c>
      <c r="B26" s="1" t="s">
        <v>59</v>
      </c>
      <c r="C26" s="1" t="s">
        <v>60</v>
      </c>
      <c r="D26">
        <v>14.88</v>
      </c>
      <c r="E26">
        <v>11.5</v>
      </c>
      <c r="F26">
        <v>9.6</v>
      </c>
      <c r="G26">
        <v>8</v>
      </c>
      <c r="H26">
        <v>10.199999999999999</v>
      </c>
      <c r="I26" s="2" t="s">
        <v>200</v>
      </c>
      <c r="J26">
        <v>8.1999999999999993</v>
      </c>
      <c r="K26">
        <v>11</v>
      </c>
    </row>
    <row r="27" spans="1:11" ht="15.75" x14ac:dyDescent="0.25">
      <c r="A27">
        <v>26</v>
      </c>
      <c r="B27" s="1" t="s">
        <v>61</v>
      </c>
      <c r="C27" s="1" t="s">
        <v>62</v>
      </c>
      <c r="D27">
        <v>13.75</v>
      </c>
      <c r="E27">
        <v>10.75</v>
      </c>
      <c r="F27">
        <v>9.2000000000000011</v>
      </c>
      <c r="G27">
        <v>18</v>
      </c>
      <c r="H27">
        <v>10.9</v>
      </c>
      <c r="I27">
        <v>7.3</v>
      </c>
      <c r="J27">
        <v>9.6999999999999993</v>
      </c>
      <c r="K27">
        <v>11</v>
      </c>
    </row>
    <row r="28" spans="1:11" ht="15.75" x14ac:dyDescent="0.25">
      <c r="A28">
        <v>27</v>
      </c>
      <c r="B28" s="1" t="s">
        <v>63</v>
      </c>
      <c r="C28" s="1" t="s">
        <v>64</v>
      </c>
      <c r="D28">
        <v>17.88</v>
      </c>
      <c r="E28">
        <v>17.5</v>
      </c>
      <c r="F28">
        <v>10</v>
      </c>
      <c r="G28">
        <v>16</v>
      </c>
      <c r="H28">
        <v>12.4</v>
      </c>
      <c r="I28">
        <v>9.5</v>
      </c>
      <c r="J28">
        <v>12.3</v>
      </c>
      <c r="K28">
        <v>11</v>
      </c>
    </row>
    <row r="29" spans="1:11" ht="15.75" x14ac:dyDescent="0.25">
      <c r="A29">
        <v>28</v>
      </c>
      <c r="B29" s="1" t="s">
        <v>65</v>
      </c>
      <c r="C29" s="1" t="s">
        <v>66</v>
      </c>
      <c r="D29">
        <v>17.88</v>
      </c>
      <c r="E29">
        <v>17.13</v>
      </c>
      <c r="F29">
        <v>10.600000000000001</v>
      </c>
      <c r="G29">
        <v>16</v>
      </c>
      <c r="H29">
        <v>11.7</v>
      </c>
      <c r="I29">
        <v>11.799999999999999</v>
      </c>
      <c r="J29">
        <v>11.200000000000001</v>
      </c>
      <c r="K29">
        <v>11</v>
      </c>
    </row>
    <row r="30" spans="1:11" ht="15.75" x14ac:dyDescent="0.25">
      <c r="A30">
        <v>29</v>
      </c>
      <c r="B30" s="1" t="s">
        <v>67</v>
      </c>
      <c r="C30" s="1" t="s">
        <v>68</v>
      </c>
      <c r="D30">
        <v>16</v>
      </c>
      <c r="E30">
        <v>12.25</v>
      </c>
      <c r="F30">
        <v>8.4</v>
      </c>
      <c r="G30">
        <v>16</v>
      </c>
      <c r="H30">
        <v>10.1</v>
      </c>
      <c r="I30">
        <v>9.6999999999999993</v>
      </c>
      <c r="J30">
        <v>11.399999999999999</v>
      </c>
      <c r="K30">
        <v>11</v>
      </c>
    </row>
    <row r="31" spans="1:11" ht="16" x14ac:dyDescent="0.4">
      <c r="A31">
        <v>30</v>
      </c>
      <c r="B31" s="1" t="s">
        <v>69</v>
      </c>
      <c r="C31" s="1" t="s">
        <v>70</v>
      </c>
      <c r="D31">
        <v>15.63</v>
      </c>
      <c r="E31">
        <v>10</v>
      </c>
      <c r="F31">
        <v>8.1999999999999993</v>
      </c>
      <c r="G31">
        <v>18</v>
      </c>
      <c r="H31">
        <v>10.199999999999999</v>
      </c>
      <c r="I31">
        <v>7.9</v>
      </c>
      <c r="J31">
        <v>11.200000000000001</v>
      </c>
      <c r="K31">
        <v>11</v>
      </c>
    </row>
    <row r="32" spans="1:11" ht="16" x14ac:dyDescent="0.4">
      <c r="A32">
        <v>31</v>
      </c>
      <c r="B32" s="1" t="s">
        <v>71</v>
      </c>
      <c r="C32" s="1" t="s">
        <v>72</v>
      </c>
      <c r="D32" s="2" t="s">
        <v>200</v>
      </c>
      <c r="E32">
        <v>15.63</v>
      </c>
      <c r="F32">
        <v>10.199999999999999</v>
      </c>
      <c r="G32">
        <v>16</v>
      </c>
      <c r="H32">
        <v>9.6</v>
      </c>
      <c r="I32">
        <v>8.6999999999999993</v>
      </c>
      <c r="J32">
        <v>10</v>
      </c>
      <c r="K32">
        <v>11</v>
      </c>
    </row>
    <row r="33" spans="1:11" ht="16" x14ac:dyDescent="0.4">
      <c r="A33">
        <v>32</v>
      </c>
      <c r="B33" s="1" t="s">
        <v>73</v>
      </c>
      <c r="C33" s="1" t="s">
        <v>74</v>
      </c>
      <c r="D33">
        <v>18.25</v>
      </c>
      <c r="E33">
        <v>17.5</v>
      </c>
      <c r="F33">
        <v>9.8000000000000007</v>
      </c>
      <c r="G33">
        <v>18</v>
      </c>
      <c r="H33">
        <v>12</v>
      </c>
      <c r="I33" s="2" t="s">
        <v>200</v>
      </c>
      <c r="J33">
        <v>11</v>
      </c>
      <c r="K33">
        <v>11</v>
      </c>
    </row>
    <row r="34" spans="1:11" ht="16" x14ac:dyDescent="0.4">
      <c r="A34">
        <v>33</v>
      </c>
      <c r="B34" s="1" t="s">
        <v>75</v>
      </c>
      <c r="C34" s="1" t="s">
        <v>76</v>
      </c>
      <c r="D34">
        <v>16.75</v>
      </c>
      <c r="E34">
        <v>16.75</v>
      </c>
      <c r="F34">
        <v>8.6</v>
      </c>
      <c r="G34">
        <v>12</v>
      </c>
      <c r="H34">
        <v>9.6999999999999993</v>
      </c>
      <c r="I34">
        <v>10.5</v>
      </c>
      <c r="J34">
        <v>10.3</v>
      </c>
      <c r="K34">
        <v>11</v>
      </c>
    </row>
    <row r="35" spans="1:11" ht="15.75" x14ac:dyDescent="0.25">
      <c r="A35">
        <v>34</v>
      </c>
      <c r="B35" s="1" t="s">
        <v>77</v>
      </c>
      <c r="C35" s="1" t="s">
        <v>78</v>
      </c>
      <c r="D35">
        <v>17.13</v>
      </c>
      <c r="E35">
        <v>13.75</v>
      </c>
      <c r="F35">
        <v>8.1999999999999993</v>
      </c>
      <c r="G35">
        <v>18</v>
      </c>
      <c r="H35">
        <v>10.9</v>
      </c>
      <c r="I35">
        <v>8.9</v>
      </c>
      <c r="J35">
        <v>10.8</v>
      </c>
      <c r="K35">
        <v>11</v>
      </c>
    </row>
    <row r="36" spans="1:11" ht="15.75" x14ac:dyDescent="0.25">
      <c r="A36">
        <v>35</v>
      </c>
      <c r="B36" s="1" t="s">
        <v>79</v>
      </c>
      <c r="C36" s="1" t="s">
        <v>80</v>
      </c>
      <c r="D36">
        <v>16</v>
      </c>
      <c r="E36">
        <v>11.5</v>
      </c>
      <c r="F36">
        <v>9</v>
      </c>
      <c r="G36">
        <v>12</v>
      </c>
      <c r="H36">
        <v>9.6999999999999993</v>
      </c>
      <c r="I36">
        <v>10.3</v>
      </c>
      <c r="J36">
        <v>10.3</v>
      </c>
      <c r="K36">
        <v>11</v>
      </c>
    </row>
    <row r="37" spans="1:11" ht="15.75" x14ac:dyDescent="0.25">
      <c r="A37">
        <v>36</v>
      </c>
      <c r="B37" s="1" t="s">
        <v>81</v>
      </c>
      <c r="C37" s="1" t="s">
        <v>82</v>
      </c>
      <c r="D37">
        <v>15.63</v>
      </c>
      <c r="E37">
        <v>14.5</v>
      </c>
      <c r="F37">
        <v>8</v>
      </c>
      <c r="G37">
        <v>14</v>
      </c>
      <c r="H37">
        <v>10.5</v>
      </c>
      <c r="I37">
        <v>9.8000000000000007</v>
      </c>
      <c r="J37">
        <v>11.299999999999999</v>
      </c>
      <c r="K37">
        <v>11</v>
      </c>
    </row>
    <row r="38" spans="1:11" ht="15.75" x14ac:dyDescent="0.25">
      <c r="A38">
        <v>37</v>
      </c>
      <c r="B38" s="1" t="s">
        <v>83</v>
      </c>
      <c r="C38" s="1" t="s">
        <v>84</v>
      </c>
      <c r="D38">
        <v>13.38</v>
      </c>
      <c r="E38">
        <v>14.88</v>
      </c>
      <c r="F38">
        <v>7.4</v>
      </c>
      <c r="G38">
        <v>16</v>
      </c>
      <c r="H38">
        <v>10.9</v>
      </c>
      <c r="I38">
        <v>8.1999999999999993</v>
      </c>
      <c r="J38">
        <v>10.700000000000001</v>
      </c>
      <c r="K38">
        <v>11</v>
      </c>
    </row>
    <row r="39" spans="1:11" ht="16" x14ac:dyDescent="0.4">
      <c r="A39">
        <v>38</v>
      </c>
      <c r="B39" s="1" t="s">
        <v>85</v>
      </c>
      <c r="C39" s="1" t="s">
        <v>86</v>
      </c>
      <c r="D39">
        <v>14.13</v>
      </c>
      <c r="E39">
        <v>11.5</v>
      </c>
      <c r="F39">
        <v>8.8000000000000007</v>
      </c>
      <c r="G39">
        <v>14</v>
      </c>
      <c r="H39">
        <v>9</v>
      </c>
      <c r="I39" s="2" t="s">
        <v>200</v>
      </c>
      <c r="J39">
        <v>11.399999999999999</v>
      </c>
      <c r="K39">
        <v>11</v>
      </c>
    </row>
    <row r="40" spans="1:11" ht="16" x14ac:dyDescent="0.4">
      <c r="A40">
        <v>39</v>
      </c>
      <c r="B40" s="1" t="s">
        <v>87</v>
      </c>
      <c r="C40" s="1" t="s">
        <v>88</v>
      </c>
      <c r="D40">
        <v>15.25</v>
      </c>
      <c r="E40">
        <v>12.63</v>
      </c>
      <c r="F40">
        <v>8.6</v>
      </c>
      <c r="G40">
        <v>12</v>
      </c>
      <c r="H40">
        <v>8.5</v>
      </c>
      <c r="I40" s="2" t="s">
        <v>200</v>
      </c>
      <c r="J40">
        <v>9.1</v>
      </c>
      <c r="K40">
        <v>11</v>
      </c>
    </row>
    <row r="41" spans="1:11" ht="16" x14ac:dyDescent="0.4">
      <c r="A41">
        <v>40</v>
      </c>
      <c r="B41" s="1" t="s">
        <v>89</v>
      </c>
      <c r="C41" s="1" t="s">
        <v>90</v>
      </c>
      <c r="D41">
        <v>17.5</v>
      </c>
      <c r="E41">
        <v>15.63</v>
      </c>
      <c r="F41">
        <v>10.4</v>
      </c>
      <c r="G41">
        <v>18</v>
      </c>
      <c r="H41">
        <v>12.3</v>
      </c>
      <c r="I41">
        <v>10.5</v>
      </c>
      <c r="J41">
        <v>12.6</v>
      </c>
      <c r="K41">
        <v>11</v>
      </c>
    </row>
    <row r="42" spans="1:11" ht="16" x14ac:dyDescent="0.4">
      <c r="A42">
        <v>41</v>
      </c>
      <c r="B42" s="1" t="s">
        <v>91</v>
      </c>
      <c r="C42" s="1" t="s">
        <v>92</v>
      </c>
      <c r="D42">
        <v>15.63</v>
      </c>
      <c r="E42">
        <v>13.38</v>
      </c>
      <c r="F42">
        <v>8.8000000000000007</v>
      </c>
      <c r="G42">
        <v>16</v>
      </c>
      <c r="H42">
        <v>10.4</v>
      </c>
      <c r="I42">
        <v>8.9</v>
      </c>
      <c r="J42">
        <v>11.299999999999999</v>
      </c>
      <c r="K42">
        <v>11</v>
      </c>
    </row>
    <row r="43" spans="1:11" ht="16" x14ac:dyDescent="0.4">
      <c r="A43">
        <v>42</v>
      </c>
      <c r="B43" s="1" t="s">
        <v>93</v>
      </c>
      <c r="C43" s="1" t="s">
        <v>94</v>
      </c>
      <c r="D43">
        <v>18.63</v>
      </c>
      <c r="E43">
        <v>17.13</v>
      </c>
      <c r="F43">
        <v>9.8000000000000007</v>
      </c>
      <c r="G43">
        <v>12</v>
      </c>
      <c r="H43">
        <v>11.799999999999999</v>
      </c>
      <c r="I43">
        <v>10.3</v>
      </c>
      <c r="J43">
        <v>13</v>
      </c>
      <c r="K43">
        <v>11</v>
      </c>
    </row>
    <row r="44" spans="1:11" ht="16" x14ac:dyDescent="0.4">
      <c r="A44">
        <v>43</v>
      </c>
      <c r="B44" s="1" t="s">
        <v>95</v>
      </c>
      <c r="C44" s="1" t="s">
        <v>96</v>
      </c>
      <c r="D44">
        <v>16.75</v>
      </c>
      <c r="E44">
        <v>14.5</v>
      </c>
      <c r="F44">
        <v>9.8000000000000007</v>
      </c>
      <c r="G44">
        <v>14</v>
      </c>
      <c r="H44">
        <v>9.9</v>
      </c>
      <c r="I44">
        <v>11.5</v>
      </c>
      <c r="J44">
        <v>12.8</v>
      </c>
      <c r="K44">
        <v>11</v>
      </c>
    </row>
    <row r="45" spans="1:11" ht="16" x14ac:dyDescent="0.4">
      <c r="A45">
        <v>44</v>
      </c>
      <c r="B45" s="1" t="s">
        <v>97</v>
      </c>
      <c r="C45" s="1" t="s">
        <v>98</v>
      </c>
      <c r="D45">
        <v>15.25</v>
      </c>
      <c r="E45">
        <v>12.63</v>
      </c>
      <c r="F45" s="2" t="s">
        <v>200</v>
      </c>
      <c r="G45">
        <v>16</v>
      </c>
      <c r="H45">
        <v>9.1</v>
      </c>
      <c r="I45">
        <v>8.5</v>
      </c>
      <c r="J45">
        <v>10.199999999999999</v>
      </c>
      <c r="K45">
        <v>11</v>
      </c>
    </row>
    <row r="46" spans="1:11" ht="16" x14ac:dyDescent="0.4">
      <c r="A46">
        <v>45</v>
      </c>
      <c r="B46" s="1" t="s">
        <v>99</v>
      </c>
      <c r="C46" s="1" t="s">
        <v>100</v>
      </c>
      <c r="D46">
        <v>13.75</v>
      </c>
      <c r="E46">
        <v>14.5</v>
      </c>
      <c r="F46">
        <v>10.199999999999999</v>
      </c>
      <c r="G46">
        <v>12</v>
      </c>
      <c r="H46">
        <v>10.700000000000001</v>
      </c>
      <c r="I46">
        <v>9.8000000000000007</v>
      </c>
      <c r="J46">
        <v>11.899999999999999</v>
      </c>
      <c r="K46">
        <v>11</v>
      </c>
    </row>
    <row r="47" spans="1:11" ht="16" x14ac:dyDescent="0.4">
      <c r="A47">
        <v>46</v>
      </c>
      <c r="B47" s="1" t="s">
        <v>101</v>
      </c>
      <c r="C47" s="1" t="s">
        <v>102</v>
      </c>
      <c r="D47">
        <v>13</v>
      </c>
      <c r="E47">
        <v>12.25</v>
      </c>
      <c r="F47">
        <v>9.2000000000000011</v>
      </c>
      <c r="G47">
        <v>18</v>
      </c>
      <c r="H47">
        <v>8.6999999999999993</v>
      </c>
      <c r="I47">
        <v>9.5</v>
      </c>
      <c r="J47">
        <v>8.8000000000000007</v>
      </c>
      <c r="K47">
        <v>11</v>
      </c>
    </row>
    <row r="48" spans="1:11" ht="16" x14ac:dyDescent="0.4">
      <c r="A48">
        <v>47</v>
      </c>
      <c r="B48" s="1" t="s">
        <v>103</v>
      </c>
      <c r="C48" s="1" t="s">
        <v>104</v>
      </c>
      <c r="D48">
        <v>16</v>
      </c>
      <c r="E48">
        <v>12.63</v>
      </c>
      <c r="F48">
        <v>9.2000000000000011</v>
      </c>
      <c r="G48">
        <v>14</v>
      </c>
      <c r="H48">
        <v>9.6</v>
      </c>
      <c r="I48">
        <v>8.4</v>
      </c>
      <c r="J48">
        <v>9.9</v>
      </c>
      <c r="K48">
        <v>11</v>
      </c>
    </row>
    <row r="49" spans="1:11" ht="16" x14ac:dyDescent="0.4">
      <c r="A49">
        <v>48</v>
      </c>
      <c r="B49" s="1" t="s">
        <v>105</v>
      </c>
      <c r="C49" s="1" t="s">
        <v>106</v>
      </c>
      <c r="D49">
        <v>14.5</v>
      </c>
      <c r="E49">
        <v>12.63</v>
      </c>
      <c r="F49">
        <v>10</v>
      </c>
      <c r="G49">
        <v>12</v>
      </c>
      <c r="H49">
        <v>10.9</v>
      </c>
      <c r="I49">
        <v>11.6</v>
      </c>
      <c r="J49">
        <v>12</v>
      </c>
      <c r="K49">
        <v>11</v>
      </c>
    </row>
    <row r="50" spans="1:11" ht="16" x14ac:dyDescent="0.4">
      <c r="A50">
        <v>49</v>
      </c>
      <c r="B50" s="1" t="s">
        <v>107</v>
      </c>
      <c r="C50" s="1" t="s">
        <v>108</v>
      </c>
      <c r="D50">
        <v>17.13</v>
      </c>
      <c r="E50">
        <v>15.25</v>
      </c>
      <c r="F50">
        <v>9.6</v>
      </c>
      <c r="G50">
        <v>14</v>
      </c>
      <c r="H50">
        <v>10.3</v>
      </c>
      <c r="I50">
        <v>9.6</v>
      </c>
      <c r="J50">
        <v>11.5</v>
      </c>
      <c r="K50">
        <v>11</v>
      </c>
    </row>
    <row r="51" spans="1:11" ht="16" x14ac:dyDescent="0.4">
      <c r="A51">
        <v>50</v>
      </c>
      <c r="B51" s="1" t="s">
        <v>109</v>
      </c>
      <c r="C51" s="1" t="s">
        <v>110</v>
      </c>
      <c r="D51">
        <v>16.38</v>
      </c>
      <c r="E51">
        <v>14.88</v>
      </c>
      <c r="F51">
        <v>7.6</v>
      </c>
      <c r="G51">
        <v>20</v>
      </c>
      <c r="H51">
        <v>9.8000000000000007</v>
      </c>
      <c r="I51" s="2" t="s">
        <v>200</v>
      </c>
      <c r="J51">
        <v>11.299999999999999</v>
      </c>
      <c r="K51">
        <v>11</v>
      </c>
    </row>
    <row r="52" spans="1:11" ht="16" x14ac:dyDescent="0.4">
      <c r="A52">
        <v>51</v>
      </c>
      <c r="B52" s="1" t="s">
        <v>111</v>
      </c>
      <c r="C52" s="1" t="s">
        <v>112</v>
      </c>
      <c r="D52">
        <v>17.5</v>
      </c>
      <c r="E52">
        <v>17.88</v>
      </c>
      <c r="F52">
        <v>10</v>
      </c>
      <c r="G52">
        <v>16</v>
      </c>
      <c r="H52">
        <v>11.100000000000001</v>
      </c>
      <c r="I52">
        <v>12</v>
      </c>
      <c r="J52">
        <v>12.4</v>
      </c>
      <c r="K52">
        <v>11</v>
      </c>
    </row>
    <row r="53" spans="1:11" ht="16" x14ac:dyDescent="0.4">
      <c r="A53">
        <v>52</v>
      </c>
      <c r="B53" s="1" t="s">
        <v>113</v>
      </c>
      <c r="C53" s="1" t="s">
        <v>114</v>
      </c>
      <c r="D53">
        <v>16.75</v>
      </c>
      <c r="E53">
        <v>16</v>
      </c>
      <c r="F53">
        <v>10.199999999999999</v>
      </c>
      <c r="G53">
        <v>18</v>
      </c>
      <c r="H53">
        <v>11.299999999999999</v>
      </c>
      <c r="I53">
        <v>9.8000000000000007</v>
      </c>
      <c r="J53">
        <v>10.199999999999999</v>
      </c>
      <c r="K53">
        <v>11</v>
      </c>
    </row>
    <row r="54" spans="1:11" ht="16" x14ac:dyDescent="0.4">
      <c r="A54">
        <v>53</v>
      </c>
      <c r="B54" s="1" t="s">
        <v>115</v>
      </c>
      <c r="C54" s="1" t="s">
        <v>116</v>
      </c>
      <c r="D54">
        <v>16.38</v>
      </c>
      <c r="E54">
        <v>16.75</v>
      </c>
      <c r="F54">
        <v>9.2000000000000011</v>
      </c>
      <c r="G54">
        <v>16</v>
      </c>
      <c r="H54">
        <v>9.2000000000000011</v>
      </c>
      <c r="I54">
        <v>10.8</v>
      </c>
      <c r="J54">
        <v>12.8</v>
      </c>
      <c r="K54">
        <v>11</v>
      </c>
    </row>
    <row r="55" spans="1:11" ht="16" x14ac:dyDescent="0.4">
      <c r="A55">
        <v>54</v>
      </c>
      <c r="B55" s="1" t="s">
        <v>117</v>
      </c>
      <c r="C55" s="1" t="s">
        <v>118</v>
      </c>
      <c r="D55">
        <v>12.63</v>
      </c>
      <c r="E55">
        <v>11.5</v>
      </c>
      <c r="F55">
        <v>9.2000000000000011</v>
      </c>
      <c r="G55">
        <v>18</v>
      </c>
      <c r="H55">
        <v>8.2999999999999989</v>
      </c>
      <c r="I55">
        <v>9.1</v>
      </c>
      <c r="J55">
        <v>10.700000000000001</v>
      </c>
      <c r="K55">
        <v>11</v>
      </c>
    </row>
    <row r="56" spans="1:11" ht="16" x14ac:dyDescent="0.4">
      <c r="A56">
        <v>55</v>
      </c>
      <c r="B56" s="1" t="s">
        <v>119</v>
      </c>
      <c r="C56" s="1" t="s">
        <v>120</v>
      </c>
      <c r="D56">
        <v>14.5</v>
      </c>
      <c r="E56">
        <v>10.38</v>
      </c>
      <c r="F56">
        <v>8.8000000000000007</v>
      </c>
      <c r="G56">
        <v>14</v>
      </c>
      <c r="H56">
        <v>11.5</v>
      </c>
      <c r="I56">
        <v>8.8000000000000007</v>
      </c>
      <c r="J56">
        <v>11.200000000000001</v>
      </c>
      <c r="K56">
        <v>11</v>
      </c>
    </row>
    <row r="57" spans="1:11" ht="16" x14ac:dyDescent="0.4">
      <c r="A57">
        <v>56</v>
      </c>
      <c r="B57" s="1" t="s">
        <v>121</v>
      </c>
      <c r="C57" s="1" t="s">
        <v>122</v>
      </c>
      <c r="D57">
        <v>14.13</v>
      </c>
      <c r="E57">
        <v>13.38</v>
      </c>
      <c r="F57">
        <v>9.3999999999999986</v>
      </c>
      <c r="G57">
        <v>12</v>
      </c>
      <c r="H57">
        <v>10.700000000000001</v>
      </c>
      <c r="I57">
        <v>7.6</v>
      </c>
      <c r="J57">
        <v>6.7</v>
      </c>
      <c r="K57">
        <v>11</v>
      </c>
    </row>
    <row r="58" spans="1:11" ht="16" x14ac:dyDescent="0.4">
      <c r="A58">
        <v>57</v>
      </c>
      <c r="B58" s="1" t="s">
        <v>123</v>
      </c>
      <c r="C58" s="1" t="s">
        <v>124</v>
      </c>
      <c r="D58">
        <v>14.13</v>
      </c>
      <c r="E58">
        <v>14.13</v>
      </c>
      <c r="F58">
        <v>9.2000000000000011</v>
      </c>
      <c r="G58">
        <v>16</v>
      </c>
      <c r="H58">
        <v>11.399999999999999</v>
      </c>
      <c r="I58">
        <v>9</v>
      </c>
      <c r="J58">
        <v>11.6</v>
      </c>
      <c r="K58">
        <v>11</v>
      </c>
    </row>
    <row r="59" spans="1:11" ht="16" x14ac:dyDescent="0.4">
      <c r="A59">
        <v>58</v>
      </c>
      <c r="B59" s="1" t="s">
        <v>125</v>
      </c>
      <c r="C59" s="1" t="s">
        <v>126</v>
      </c>
      <c r="D59">
        <v>16.38</v>
      </c>
      <c r="E59">
        <v>14.13</v>
      </c>
      <c r="F59">
        <v>8.1999999999999993</v>
      </c>
      <c r="G59">
        <v>18</v>
      </c>
      <c r="H59">
        <v>10.8</v>
      </c>
      <c r="I59">
        <v>9.6</v>
      </c>
      <c r="J59">
        <v>11.799999999999999</v>
      </c>
      <c r="K59">
        <v>11</v>
      </c>
    </row>
    <row r="60" spans="1:11" ht="16" x14ac:dyDescent="0.4">
      <c r="A60">
        <v>59</v>
      </c>
      <c r="B60" s="1" t="s">
        <v>127</v>
      </c>
      <c r="C60" s="1" t="s">
        <v>128</v>
      </c>
      <c r="D60">
        <v>14.5</v>
      </c>
      <c r="E60">
        <v>12.63</v>
      </c>
      <c r="F60">
        <v>8.6</v>
      </c>
      <c r="G60">
        <v>16</v>
      </c>
      <c r="H60">
        <v>11.799999999999999</v>
      </c>
      <c r="I60">
        <v>11.5</v>
      </c>
      <c r="J60">
        <v>11.5</v>
      </c>
      <c r="K60">
        <v>11</v>
      </c>
    </row>
    <row r="61" spans="1:11" ht="16" x14ac:dyDescent="0.4">
      <c r="A61">
        <v>60</v>
      </c>
      <c r="B61" s="1" t="s">
        <v>129</v>
      </c>
      <c r="C61" s="1" t="s">
        <v>130</v>
      </c>
      <c r="D61">
        <v>15.25</v>
      </c>
      <c r="E61">
        <v>12.25</v>
      </c>
      <c r="F61">
        <v>10.199999999999999</v>
      </c>
      <c r="G61">
        <v>16</v>
      </c>
      <c r="H61">
        <v>11.6</v>
      </c>
      <c r="I61">
        <v>9.5</v>
      </c>
      <c r="J61">
        <v>12</v>
      </c>
      <c r="K61">
        <v>11</v>
      </c>
    </row>
    <row r="62" spans="1:11" ht="16" x14ac:dyDescent="0.4">
      <c r="A62">
        <v>61</v>
      </c>
      <c r="B62" s="1" t="s">
        <v>131</v>
      </c>
      <c r="C62" s="1" t="s">
        <v>132</v>
      </c>
      <c r="D62">
        <v>13.75</v>
      </c>
      <c r="E62">
        <v>13.75</v>
      </c>
      <c r="F62">
        <v>8.4</v>
      </c>
      <c r="G62">
        <v>12</v>
      </c>
      <c r="H62">
        <v>10.199999999999999</v>
      </c>
      <c r="I62">
        <v>7.9</v>
      </c>
      <c r="J62">
        <v>10.1</v>
      </c>
      <c r="K62">
        <v>11</v>
      </c>
    </row>
    <row r="63" spans="1:11" ht="16" x14ac:dyDescent="0.4">
      <c r="A63">
        <v>62</v>
      </c>
      <c r="B63" s="1" t="s">
        <v>133</v>
      </c>
      <c r="C63" s="1" t="s">
        <v>134</v>
      </c>
      <c r="D63">
        <v>14.13</v>
      </c>
      <c r="E63">
        <v>10.75</v>
      </c>
      <c r="F63">
        <v>9.6</v>
      </c>
      <c r="G63">
        <v>12</v>
      </c>
      <c r="H63">
        <v>9.2000000000000011</v>
      </c>
      <c r="I63" s="2" t="s">
        <v>200</v>
      </c>
      <c r="J63">
        <v>11.299999999999999</v>
      </c>
      <c r="K63">
        <v>11</v>
      </c>
    </row>
    <row r="64" spans="1:11" ht="16" x14ac:dyDescent="0.4">
      <c r="A64">
        <v>63</v>
      </c>
      <c r="B64" s="1" t="s">
        <v>135</v>
      </c>
      <c r="C64" s="1" t="s">
        <v>136</v>
      </c>
      <c r="D64">
        <v>16.38</v>
      </c>
      <c r="E64">
        <v>11.5</v>
      </c>
      <c r="F64">
        <v>9.2000000000000011</v>
      </c>
      <c r="G64">
        <v>16</v>
      </c>
      <c r="H64">
        <v>9</v>
      </c>
      <c r="I64">
        <v>10.199999999999999</v>
      </c>
      <c r="J64">
        <v>11.200000000000001</v>
      </c>
      <c r="K64">
        <v>11</v>
      </c>
    </row>
    <row r="65" spans="1:11" ht="16" x14ac:dyDescent="0.4">
      <c r="A65">
        <v>64</v>
      </c>
      <c r="B65" s="1" t="s">
        <v>137</v>
      </c>
      <c r="C65" s="1" t="s">
        <v>138</v>
      </c>
      <c r="D65">
        <v>14.13</v>
      </c>
      <c r="E65">
        <v>11.88</v>
      </c>
      <c r="F65">
        <v>8.8000000000000007</v>
      </c>
      <c r="G65">
        <v>14</v>
      </c>
      <c r="H65">
        <v>9.1</v>
      </c>
      <c r="I65">
        <v>7.8000000000000007</v>
      </c>
      <c r="J65">
        <v>10.4</v>
      </c>
      <c r="K65">
        <v>11</v>
      </c>
    </row>
    <row r="66" spans="1:11" ht="16" x14ac:dyDescent="0.4">
      <c r="A66">
        <v>65</v>
      </c>
      <c r="B66" s="1" t="s">
        <v>139</v>
      </c>
      <c r="C66" s="1" t="s">
        <v>140</v>
      </c>
      <c r="D66">
        <v>14.5</v>
      </c>
      <c r="E66">
        <v>13</v>
      </c>
      <c r="F66">
        <v>10</v>
      </c>
      <c r="G66">
        <v>14</v>
      </c>
      <c r="H66">
        <v>10.8</v>
      </c>
      <c r="I66">
        <v>8.2999999999999989</v>
      </c>
      <c r="J66">
        <v>12</v>
      </c>
      <c r="K66">
        <v>11</v>
      </c>
    </row>
    <row r="67" spans="1:11" ht="16" x14ac:dyDescent="0.4">
      <c r="A67">
        <v>66</v>
      </c>
      <c r="B67" s="1" t="s">
        <v>141</v>
      </c>
      <c r="C67" s="1" t="s">
        <v>142</v>
      </c>
      <c r="D67">
        <v>15.63</v>
      </c>
      <c r="E67">
        <v>12.63</v>
      </c>
      <c r="F67">
        <v>9.2000000000000011</v>
      </c>
      <c r="G67">
        <v>12</v>
      </c>
      <c r="H67">
        <v>10.700000000000001</v>
      </c>
      <c r="I67">
        <v>10.5</v>
      </c>
      <c r="J67">
        <v>10.199999999999999</v>
      </c>
      <c r="K67">
        <v>11</v>
      </c>
    </row>
    <row r="68" spans="1:11" ht="16" x14ac:dyDescent="0.4">
      <c r="A68">
        <v>67</v>
      </c>
      <c r="B68" s="1" t="s">
        <v>143</v>
      </c>
      <c r="C68" s="1" t="s">
        <v>144</v>
      </c>
      <c r="D68">
        <v>16</v>
      </c>
      <c r="E68">
        <v>13.38</v>
      </c>
      <c r="F68">
        <v>8.6</v>
      </c>
      <c r="G68">
        <v>10</v>
      </c>
      <c r="H68">
        <v>6.4</v>
      </c>
      <c r="I68">
        <v>7.7</v>
      </c>
      <c r="J68">
        <v>9</v>
      </c>
      <c r="K68">
        <v>11</v>
      </c>
    </row>
    <row r="69" spans="1:11" ht="16" x14ac:dyDescent="0.4">
      <c r="A69">
        <v>68</v>
      </c>
      <c r="B69" s="1" t="s">
        <v>145</v>
      </c>
      <c r="C69" s="1" t="s">
        <v>146</v>
      </c>
      <c r="D69">
        <v>14.88</v>
      </c>
      <c r="E69">
        <v>13.38</v>
      </c>
      <c r="F69">
        <v>11.200000000000001</v>
      </c>
      <c r="G69">
        <v>16</v>
      </c>
      <c r="H69">
        <v>11.5</v>
      </c>
      <c r="I69">
        <v>9.1</v>
      </c>
      <c r="J69">
        <v>10.1</v>
      </c>
      <c r="K69">
        <v>11</v>
      </c>
    </row>
    <row r="70" spans="1:11" ht="16" x14ac:dyDescent="0.4">
      <c r="A70">
        <v>69</v>
      </c>
      <c r="B70" s="1" t="s">
        <v>147</v>
      </c>
      <c r="C70" s="1" t="s">
        <v>148</v>
      </c>
      <c r="D70">
        <v>17.88</v>
      </c>
      <c r="E70">
        <v>17.13</v>
      </c>
      <c r="F70">
        <v>11</v>
      </c>
      <c r="G70">
        <v>18</v>
      </c>
      <c r="H70">
        <v>12.2</v>
      </c>
      <c r="I70">
        <v>11</v>
      </c>
      <c r="J70">
        <v>12.7</v>
      </c>
      <c r="K70">
        <v>11</v>
      </c>
    </row>
    <row r="71" spans="1:11" ht="16" x14ac:dyDescent="0.4">
      <c r="A71">
        <v>70</v>
      </c>
      <c r="B71" s="1" t="s">
        <v>149</v>
      </c>
      <c r="C71" s="1" t="s">
        <v>150</v>
      </c>
      <c r="D71">
        <v>16.75</v>
      </c>
      <c r="E71">
        <v>15.25</v>
      </c>
      <c r="F71">
        <v>10.8</v>
      </c>
      <c r="G71">
        <v>14</v>
      </c>
      <c r="H71">
        <v>13</v>
      </c>
      <c r="I71">
        <v>12.2</v>
      </c>
      <c r="J71">
        <v>12.5</v>
      </c>
      <c r="K71">
        <v>11</v>
      </c>
    </row>
    <row r="72" spans="1:11" ht="16" x14ac:dyDescent="0.4">
      <c r="A72">
        <v>71</v>
      </c>
      <c r="B72" s="1" t="s">
        <v>151</v>
      </c>
      <c r="C72" s="1" t="s">
        <v>152</v>
      </c>
      <c r="D72">
        <v>17.13</v>
      </c>
      <c r="E72">
        <v>15.25</v>
      </c>
      <c r="F72">
        <v>9.8000000000000007</v>
      </c>
      <c r="G72">
        <v>16</v>
      </c>
      <c r="H72">
        <v>11.799999999999999</v>
      </c>
      <c r="I72">
        <v>10.199999999999999</v>
      </c>
      <c r="J72">
        <v>10.1</v>
      </c>
      <c r="K72">
        <v>11</v>
      </c>
    </row>
    <row r="73" spans="1:11" ht="16" x14ac:dyDescent="0.4">
      <c r="A73">
        <v>72</v>
      </c>
      <c r="B73" s="1" t="s">
        <v>153</v>
      </c>
      <c r="C73" s="1" t="s">
        <v>154</v>
      </c>
      <c r="D73">
        <v>16.38</v>
      </c>
      <c r="E73">
        <v>14.5</v>
      </c>
      <c r="F73">
        <v>9.2000000000000011</v>
      </c>
      <c r="G73">
        <v>18</v>
      </c>
      <c r="H73">
        <v>11.899999999999999</v>
      </c>
      <c r="I73">
        <v>8.2999999999999989</v>
      </c>
      <c r="J73">
        <v>11.299999999999999</v>
      </c>
      <c r="K73">
        <v>11</v>
      </c>
    </row>
    <row r="74" spans="1:11" ht="16" x14ac:dyDescent="0.4">
      <c r="A74">
        <v>73</v>
      </c>
      <c r="B74" s="1" t="s">
        <v>155</v>
      </c>
      <c r="C74" s="1" t="s">
        <v>156</v>
      </c>
      <c r="D74">
        <v>16</v>
      </c>
      <c r="E74">
        <v>16</v>
      </c>
      <c r="F74">
        <v>9</v>
      </c>
      <c r="G74">
        <v>16</v>
      </c>
      <c r="H74">
        <v>11.7</v>
      </c>
      <c r="I74">
        <v>11</v>
      </c>
      <c r="J74">
        <v>11.6</v>
      </c>
      <c r="K74">
        <v>11</v>
      </c>
    </row>
    <row r="75" spans="1:11" ht="16" x14ac:dyDescent="0.4">
      <c r="A75">
        <v>74</v>
      </c>
      <c r="B75" s="1" t="s">
        <v>157</v>
      </c>
      <c r="C75" s="1" t="s">
        <v>158</v>
      </c>
      <c r="D75">
        <v>15.25</v>
      </c>
      <c r="E75">
        <v>14.5</v>
      </c>
      <c r="F75">
        <v>11</v>
      </c>
      <c r="G75">
        <v>14</v>
      </c>
      <c r="H75">
        <v>12</v>
      </c>
      <c r="I75">
        <v>9.3999999999999986</v>
      </c>
      <c r="J75">
        <v>11.6</v>
      </c>
      <c r="K75">
        <v>11</v>
      </c>
    </row>
    <row r="76" spans="1:11" ht="16" x14ac:dyDescent="0.4">
      <c r="A76">
        <v>75</v>
      </c>
      <c r="B76" s="1" t="s">
        <v>159</v>
      </c>
      <c r="C76" s="1" t="s">
        <v>160</v>
      </c>
      <c r="D76">
        <v>16.75</v>
      </c>
      <c r="E76">
        <v>11.5</v>
      </c>
      <c r="F76">
        <v>8.4</v>
      </c>
      <c r="G76">
        <v>18</v>
      </c>
      <c r="H76">
        <v>10.3</v>
      </c>
      <c r="I76">
        <v>9.2000000000000011</v>
      </c>
      <c r="J76">
        <v>10.600000000000001</v>
      </c>
      <c r="K76">
        <v>11</v>
      </c>
    </row>
    <row r="77" spans="1:11" ht="16" x14ac:dyDescent="0.4">
      <c r="A77">
        <v>76</v>
      </c>
      <c r="B77" s="1" t="s">
        <v>161</v>
      </c>
      <c r="C77" s="1" t="s">
        <v>162</v>
      </c>
      <c r="D77">
        <v>14.13</v>
      </c>
      <c r="E77">
        <v>14.5</v>
      </c>
      <c r="F77">
        <v>7.8000000000000007</v>
      </c>
      <c r="G77">
        <v>16</v>
      </c>
      <c r="H77">
        <v>10</v>
      </c>
      <c r="I77">
        <v>8.2999999999999989</v>
      </c>
      <c r="J77">
        <v>9.3999999999999986</v>
      </c>
      <c r="K77">
        <v>11</v>
      </c>
    </row>
    <row r="78" spans="1:11" ht="16" x14ac:dyDescent="0.4">
      <c r="A78">
        <v>77</v>
      </c>
      <c r="B78" s="1" t="s">
        <v>163</v>
      </c>
      <c r="C78" s="1" t="s">
        <v>164</v>
      </c>
      <c r="D78">
        <v>14.88</v>
      </c>
      <c r="E78">
        <v>13.38</v>
      </c>
      <c r="F78">
        <v>9.8000000000000007</v>
      </c>
      <c r="G78">
        <v>12</v>
      </c>
      <c r="H78">
        <v>11</v>
      </c>
      <c r="I78" s="2" t="s">
        <v>200</v>
      </c>
      <c r="J78">
        <v>11.899999999999999</v>
      </c>
      <c r="K78">
        <v>11</v>
      </c>
    </row>
    <row r="79" spans="1:11" ht="16" x14ac:dyDescent="0.4">
      <c r="A79">
        <v>78</v>
      </c>
      <c r="B79" s="1" t="s">
        <v>165</v>
      </c>
      <c r="C79" s="1" t="s">
        <v>166</v>
      </c>
      <c r="D79">
        <v>17.88</v>
      </c>
      <c r="E79">
        <v>16.75</v>
      </c>
      <c r="F79">
        <v>9.2000000000000011</v>
      </c>
      <c r="G79">
        <v>18</v>
      </c>
      <c r="H79">
        <v>9.6999999999999993</v>
      </c>
      <c r="I79">
        <v>10.1</v>
      </c>
      <c r="J79">
        <v>12.6</v>
      </c>
      <c r="K79">
        <v>11</v>
      </c>
    </row>
    <row r="80" spans="1:11" ht="16" x14ac:dyDescent="0.4">
      <c r="A80">
        <v>79</v>
      </c>
      <c r="B80" s="1" t="s">
        <v>167</v>
      </c>
      <c r="C80" s="1" t="s">
        <v>168</v>
      </c>
      <c r="D80">
        <v>18.63</v>
      </c>
      <c r="E80">
        <v>15.63</v>
      </c>
      <c r="F80">
        <v>9.3999999999999986</v>
      </c>
      <c r="G80">
        <v>12</v>
      </c>
      <c r="H80">
        <v>11.7</v>
      </c>
      <c r="I80">
        <v>10.199999999999999</v>
      </c>
      <c r="J80">
        <v>12</v>
      </c>
      <c r="K80">
        <v>11</v>
      </c>
    </row>
    <row r="81" spans="1:11" ht="16" x14ac:dyDescent="0.4">
      <c r="A81">
        <v>80</v>
      </c>
      <c r="B81" s="1" t="s">
        <v>169</v>
      </c>
      <c r="C81" s="1" t="s">
        <v>170</v>
      </c>
      <c r="D81">
        <v>15.25</v>
      </c>
      <c r="E81">
        <v>12.63</v>
      </c>
      <c r="F81">
        <v>10</v>
      </c>
      <c r="G81">
        <v>16</v>
      </c>
      <c r="H81">
        <v>10.4</v>
      </c>
      <c r="I81">
        <v>10.199999999999999</v>
      </c>
      <c r="J81">
        <v>11.399999999999999</v>
      </c>
      <c r="K81">
        <v>11</v>
      </c>
    </row>
    <row r="82" spans="1:11" ht="16" x14ac:dyDescent="0.4">
      <c r="A82">
        <v>81</v>
      </c>
      <c r="B82" s="1" t="s">
        <v>171</v>
      </c>
      <c r="C82" s="1" t="s">
        <v>172</v>
      </c>
      <c r="D82">
        <v>16.38</v>
      </c>
      <c r="E82">
        <v>15.63</v>
      </c>
      <c r="F82">
        <v>10.8</v>
      </c>
      <c r="G82">
        <v>14</v>
      </c>
      <c r="H82">
        <v>9.8000000000000007</v>
      </c>
      <c r="I82">
        <v>10.1</v>
      </c>
      <c r="J82">
        <v>11.6</v>
      </c>
      <c r="K82">
        <v>11</v>
      </c>
    </row>
    <row r="83" spans="1:11" ht="16" x14ac:dyDescent="0.4">
      <c r="A83">
        <v>82</v>
      </c>
      <c r="B83" s="1" t="s">
        <v>173</v>
      </c>
      <c r="C83" s="1" t="s">
        <v>174</v>
      </c>
      <c r="D83">
        <v>17.13</v>
      </c>
      <c r="E83">
        <v>12.63</v>
      </c>
      <c r="F83">
        <v>9.2000000000000011</v>
      </c>
      <c r="G83">
        <v>12</v>
      </c>
      <c r="H83">
        <v>10.600000000000001</v>
      </c>
      <c r="I83">
        <v>9.6999999999999993</v>
      </c>
      <c r="J83">
        <v>11.399999999999999</v>
      </c>
      <c r="K83">
        <v>11</v>
      </c>
    </row>
    <row r="84" spans="1:11" ht="16" x14ac:dyDescent="0.4">
      <c r="A84">
        <v>83</v>
      </c>
      <c r="B84" s="1" t="s">
        <v>175</v>
      </c>
      <c r="C84" s="1" t="s">
        <v>176</v>
      </c>
      <c r="D84">
        <v>10.75</v>
      </c>
      <c r="E84">
        <v>10.38</v>
      </c>
      <c r="F84">
        <v>7.6</v>
      </c>
      <c r="G84">
        <v>18</v>
      </c>
      <c r="H84">
        <v>7</v>
      </c>
      <c r="I84" s="2" t="s">
        <v>200</v>
      </c>
      <c r="J84">
        <v>10.3</v>
      </c>
      <c r="K84">
        <v>11</v>
      </c>
    </row>
    <row r="85" spans="1:11" ht="16" x14ac:dyDescent="0.4">
      <c r="A85">
        <v>84</v>
      </c>
      <c r="B85" s="1" t="s">
        <v>177</v>
      </c>
      <c r="C85" s="1" t="s">
        <v>178</v>
      </c>
      <c r="D85">
        <v>14.88</v>
      </c>
      <c r="E85">
        <v>13.75</v>
      </c>
      <c r="F85">
        <v>8.6</v>
      </c>
      <c r="G85">
        <v>18</v>
      </c>
      <c r="H85">
        <v>8.8000000000000007</v>
      </c>
      <c r="I85" s="2" t="s">
        <v>200</v>
      </c>
      <c r="J85">
        <v>9.6999999999999993</v>
      </c>
      <c r="K85">
        <v>11</v>
      </c>
    </row>
    <row r="86" spans="1:11" ht="16" x14ac:dyDescent="0.4">
      <c r="A86">
        <v>85</v>
      </c>
      <c r="B86" s="1" t="s">
        <v>179</v>
      </c>
      <c r="C86" s="1" t="s">
        <v>180</v>
      </c>
      <c r="D86">
        <v>12.25</v>
      </c>
      <c r="E86">
        <v>9.6300000000000008</v>
      </c>
      <c r="F86">
        <v>6.2</v>
      </c>
      <c r="G86">
        <v>14</v>
      </c>
      <c r="H86">
        <v>7.8000000000000007</v>
      </c>
      <c r="I86" s="2" t="s">
        <v>200</v>
      </c>
      <c r="J86">
        <v>9.2000000000000011</v>
      </c>
      <c r="K86">
        <v>11</v>
      </c>
    </row>
    <row r="87" spans="1:11" ht="16" x14ac:dyDescent="0.4">
      <c r="A87">
        <v>86</v>
      </c>
      <c r="B87" s="1" t="s">
        <v>181</v>
      </c>
      <c r="C87" s="1" t="s">
        <v>182</v>
      </c>
      <c r="D87">
        <v>15.25</v>
      </c>
      <c r="E87">
        <v>14.5</v>
      </c>
      <c r="F87">
        <v>10</v>
      </c>
      <c r="G87">
        <v>12</v>
      </c>
      <c r="H87">
        <v>10.700000000000001</v>
      </c>
      <c r="I87">
        <v>10.3</v>
      </c>
      <c r="J87">
        <v>10.600000000000001</v>
      </c>
      <c r="K87">
        <v>11</v>
      </c>
    </row>
    <row r="88" spans="1:11" ht="16" x14ac:dyDescent="0.4">
      <c r="A88">
        <v>87</v>
      </c>
      <c r="B88" s="1" t="s">
        <v>183</v>
      </c>
      <c r="C88" s="1" t="s">
        <v>184</v>
      </c>
      <c r="D88">
        <v>15.25</v>
      </c>
      <c r="E88">
        <v>9.6300000000000008</v>
      </c>
      <c r="F88">
        <v>9.2000000000000011</v>
      </c>
      <c r="G88">
        <v>18</v>
      </c>
      <c r="H88">
        <v>10.5</v>
      </c>
      <c r="I88" s="2" t="s">
        <v>200</v>
      </c>
      <c r="J88">
        <v>8.8000000000000007</v>
      </c>
      <c r="K88">
        <v>11</v>
      </c>
    </row>
    <row r="89" spans="1:11" ht="16" x14ac:dyDescent="0.4">
      <c r="A89">
        <v>88</v>
      </c>
      <c r="B89" s="1" t="s">
        <v>185</v>
      </c>
      <c r="C89" s="1" t="s">
        <v>186</v>
      </c>
      <c r="D89">
        <v>16.75</v>
      </c>
      <c r="E89">
        <v>14.13</v>
      </c>
      <c r="F89">
        <v>8.1999999999999993</v>
      </c>
      <c r="G89">
        <v>14</v>
      </c>
      <c r="H89">
        <v>10.700000000000001</v>
      </c>
      <c r="I89">
        <v>10.600000000000001</v>
      </c>
      <c r="J89">
        <v>11.5</v>
      </c>
      <c r="K89">
        <v>11</v>
      </c>
    </row>
    <row r="90" spans="1:11" ht="16" x14ac:dyDescent="0.4">
      <c r="A90">
        <v>89</v>
      </c>
      <c r="B90" s="1" t="s">
        <v>187</v>
      </c>
      <c r="C90" s="1" t="s">
        <v>188</v>
      </c>
      <c r="D90">
        <v>15.63</v>
      </c>
      <c r="E90">
        <v>15.25</v>
      </c>
      <c r="F90">
        <v>8.8000000000000007</v>
      </c>
      <c r="G90">
        <v>16</v>
      </c>
      <c r="H90">
        <v>10.3</v>
      </c>
      <c r="I90">
        <v>11.899999999999999</v>
      </c>
      <c r="J90">
        <v>11</v>
      </c>
      <c r="K90">
        <v>11</v>
      </c>
    </row>
    <row r="91" spans="1:11" ht="16" x14ac:dyDescent="0.4">
      <c r="A91">
        <v>90</v>
      </c>
      <c r="B91" s="1" t="s">
        <v>189</v>
      </c>
      <c r="C91" s="1" t="s">
        <v>190</v>
      </c>
      <c r="D91">
        <v>17.88</v>
      </c>
      <c r="E91">
        <v>16.75</v>
      </c>
      <c r="F91">
        <v>10</v>
      </c>
      <c r="G91">
        <v>12</v>
      </c>
      <c r="H91">
        <v>11.299999999999999</v>
      </c>
      <c r="I91">
        <v>9.3000000000000007</v>
      </c>
      <c r="J91">
        <v>12</v>
      </c>
      <c r="K91">
        <v>11</v>
      </c>
    </row>
    <row r="92" spans="1:11" ht="16" x14ac:dyDescent="0.4">
      <c r="A92">
        <v>91</v>
      </c>
      <c r="B92" s="1" t="s">
        <v>191</v>
      </c>
      <c r="C92" s="1" t="s">
        <v>192</v>
      </c>
      <c r="D92">
        <v>14.88</v>
      </c>
      <c r="E92">
        <v>12.63</v>
      </c>
      <c r="F92">
        <v>8.4</v>
      </c>
      <c r="G92">
        <v>8</v>
      </c>
      <c r="H92">
        <v>9.3000000000000007</v>
      </c>
      <c r="I92">
        <v>7.9</v>
      </c>
      <c r="J92">
        <v>10.5</v>
      </c>
      <c r="K92">
        <v>11</v>
      </c>
    </row>
    <row r="93" spans="1:11" ht="16" x14ac:dyDescent="0.4">
      <c r="A93">
        <v>92</v>
      </c>
      <c r="B93" s="1" t="s">
        <v>193</v>
      </c>
      <c r="C93" s="1" t="s">
        <v>194</v>
      </c>
      <c r="D93">
        <v>16.38</v>
      </c>
      <c r="E93">
        <v>12.25</v>
      </c>
      <c r="F93">
        <v>11.200000000000001</v>
      </c>
      <c r="G93">
        <v>14</v>
      </c>
      <c r="H93">
        <v>12</v>
      </c>
      <c r="I93">
        <v>11</v>
      </c>
      <c r="J93">
        <v>12</v>
      </c>
      <c r="K93">
        <v>11</v>
      </c>
    </row>
    <row r="94" spans="1:11" ht="16" x14ac:dyDescent="0.4">
      <c r="A94">
        <v>93</v>
      </c>
      <c r="B94" s="1" t="s">
        <v>195</v>
      </c>
      <c r="C94" s="1" t="s">
        <v>196</v>
      </c>
      <c r="D94">
        <v>16.38</v>
      </c>
      <c r="E94" s="2" t="s">
        <v>200</v>
      </c>
      <c r="F94">
        <v>9.2000000000000011</v>
      </c>
      <c r="G94">
        <v>10</v>
      </c>
      <c r="H94">
        <v>7.1</v>
      </c>
      <c r="I94" s="2" t="s">
        <v>200</v>
      </c>
      <c r="J94">
        <v>9.3999999999999986</v>
      </c>
      <c r="K94">
        <v>11</v>
      </c>
    </row>
    <row r="95" spans="1:11" ht="16" x14ac:dyDescent="0.4">
      <c r="A95">
        <v>94</v>
      </c>
      <c r="B95" s="1" t="s">
        <v>197</v>
      </c>
      <c r="C95" s="1" t="s">
        <v>198</v>
      </c>
      <c r="D95">
        <v>15.25</v>
      </c>
      <c r="E95">
        <v>13.38</v>
      </c>
      <c r="F95">
        <v>9.6</v>
      </c>
      <c r="G95">
        <v>18</v>
      </c>
      <c r="H95">
        <v>10.4</v>
      </c>
      <c r="I95" s="2" t="s">
        <v>200</v>
      </c>
      <c r="J95">
        <v>10.199999999999999</v>
      </c>
      <c r="K95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zoomScale="85" zoomScaleNormal="85" workbookViewId="0">
      <selection activeCell="G43" sqref="G43"/>
    </sheetView>
  </sheetViews>
  <sheetFormatPr defaultRowHeight="14.5" x14ac:dyDescent="0.35"/>
  <cols>
    <col min="1" max="1" width="3.81640625" bestFit="1" customWidth="1"/>
    <col min="2" max="2" width="23.54296875" customWidth="1"/>
    <col min="3" max="3" width="42.54296875" customWidth="1"/>
    <col min="4" max="4" width="17.81640625" bestFit="1" customWidth="1"/>
    <col min="5" max="5" width="22.453125" bestFit="1" customWidth="1"/>
    <col min="6" max="6" width="27.1796875" bestFit="1" customWidth="1"/>
    <col min="7" max="7" width="22.54296875" bestFit="1" customWidth="1"/>
    <col min="8" max="8" width="17.81640625" bestFit="1" customWidth="1"/>
    <col min="9" max="9" width="20.54296875" bestFit="1" customWidth="1"/>
    <col min="10" max="10" width="14.81640625" bestFit="1" customWidth="1"/>
    <col min="11" max="11" width="24.453125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s="1" t="s">
        <v>11</v>
      </c>
      <c r="C2" s="1" t="s">
        <v>12</v>
      </c>
      <c r="D2">
        <v>18.5</v>
      </c>
      <c r="E2">
        <v>17.5</v>
      </c>
      <c r="F2">
        <v>15</v>
      </c>
      <c r="G2">
        <v>14.5</v>
      </c>
      <c r="H2">
        <v>15.5</v>
      </c>
      <c r="I2">
        <v>14.5</v>
      </c>
      <c r="J2">
        <v>13.5</v>
      </c>
      <c r="K2">
        <f t="shared" ref="K2:K24" ca="1" si="0">RANDBETWEEN(5,20)</f>
        <v>15</v>
      </c>
    </row>
    <row r="3" spans="1:11" ht="15.75" x14ac:dyDescent="0.25">
      <c r="A3">
        <v>2</v>
      </c>
      <c r="B3" s="1" t="s">
        <v>13</v>
      </c>
      <c r="C3" s="1" t="s">
        <v>14</v>
      </c>
      <c r="D3">
        <v>16.5</v>
      </c>
      <c r="E3">
        <v>15.5</v>
      </c>
      <c r="F3">
        <v>13</v>
      </c>
      <c r="G3">
        <v>14.5</v>
      </c>
      <c r="H3">
        <v>13.5</v>
      </c>
      <c r="I3">
        <v>15.5</v>
      </c>
      <c r="J3">
        <v>13</v>
      </c>
      <c r="K3">
        <f t="shared" ca="1" si="0"/>
        <v>17</v>
      </c>
    </row>
    <row r="4" spans="1:11" ht="15.75" x14ac:dyDescent="0.25">
      <c r="A4">
        <v>3</v>
      </c>
      <c r="B4" s="1" t="s">
        <v>15</v>
      </c>
      <c r="C4" s="1" t="s">
        <v>16</v>
      </c>
      <c r="D4">
        <v>18.5</v>
      </c>
      <c r="E4">
        <v>18</v>
      </c>
      <c r="F4">
        <v>14.5</v>
      </c>
      <c r="G4">
        <v>16</v>
      </c>
      <c r="H4">
        <v>13</v>
      </c>
      <c r="I4">
        <v>15.5</v>
      </c>
      <c r="J4">
        <v>14</v>
      </c>
      <c r="K4">
        <f t="shared" ca="1" si="0"/>
        <v>17</v>
      </c>
    </row>
    <row r="5" spans="1:11" ht="15.75" x14ac:dyDescent="0.25">
      <c r="A5">
        <v>4</v>
      </c>
      <c r="B5" s="1" t="s">
        <v>17</v>
      </c>
      <c r="C5" s="1" t="s">
        <v>18</v>
      </c>
      <c r="D5">
        <v>14</v>
      </c>
      <c r="E5">
        <v>16</v>
      </c>
      <c r="F5">
        <v>15</v>
      </c>
      <c r="G5">
        <v>14</v>
      </c>
      <c r="H5">
        <v>13.5</v>
      </c>
      <c r="I5">
        <v>16</v>
      </c>
      <c r="J5">
        <v>15</v>
      </c>
      <c r="K5">
        <f t="shared" ca="1" si="0"/>
        <v>12</v>
      </c>
    </row>
    <row r="6" spans="1:11" ht="15.75" x14ac:dyDescent="0.25">
      <c r="A6">
        <v>5</v>
      </c>
      <c r="B6" s="1" t="s">
        <v>19</v>
      </c>
      <c r="C6" s="1" t="s">
        <v>20</v>
      </c>
      <c r="D6">
        <v>10.5</v>
      </c>
      <c r="E6">
        <v>16</v>
      </c>
      <c r="F6">
        <v>11.5</v>
      </c>
      <c r="G6">
        <v>15.5</v>
      </c>
      <c r="H6">
        <v>14.5</v>
      </c>
      <c r="I6">
        <v>15</v>
      </c>
      <c r="J6">
        <v>14.5</v>
      </c>
      <c r="K6">
        <f t="shared" ca="1" si="0"/>
        <v>18</v>
      </c>
    </row>
    <row r="7" spans="1:11" ht="15.75" x14ac:dyDescent="0.25">
      <c r="A7">
        <v>6</v>
      </c>
      <c r="B7" s="1" t="s">
        <v>21</v>
      </c>
      <c r="C7" s="1" t="s">
        <v>22</v>
      </c>
      <c r="D7">
        <v>19</v>
      </c>
      <c r="E7">
        <v>19</v>
      </c>
      <c r="F7">
        <v>15</v>
      </c>
      <c r="G7">
        <v>16</v>
      </c>
      <c r="H7">
        <v>13</v>
      </c>
      <c r="I7">
        <v>15.5</v>
      </c>
      <c r="J7">
        <v>16</v>
      </c>
      <c r="K7">
        <f t="shared" ca="1" si="0"/>
        <v>6</v>
      </c>
    </row>
    <row r="8" spans="1:11" ht="15.75" x14ac:dyDescent="0.25">
      <c r="A8">
        <v>7</v>
      </c>
      <c r="B8" s="1" t="s">
        <v>23</v>
      </c>
      <c r="C8" s="1" t="s">
        <v>24</v>
      </c>
      <c r="D8">
        <v>13</v>
      </c>
      <c r="E8">
        <v>10.5</v>
      </c>
      <c r="F8">
        <v>8.5</v>
      </c>
      <c r="G8">
        <v>15</v>
      </c>
      <c r="H8">
        <v>11</v>
      </c>
      <c r="I8">
        <v>14</v>
      </c>
      <c r="J8">
        <v>13.5</v>
      </c>
      <c r="K8">
        <f t="shared" ca="1" si="0"/>
        <v>18</v>
      </c>
    </row>
    <row r="9" spans="1:11" ht="15.75" x14ac:dyDescent="0.25">
      <c r="A9">
        <v>8</v>
      </c>
      <c r="B9" s="1" t="s">
        <v>25</v>
      </c>
      <c r="C9" s="1" t="s">
        <v>26</v>
      </c>
      <c r="D9">
        <v>13.5</v>
      </c>
      <c r="E9">
        <v>16.5</v>
      </c>
      <c r="F9">
        <v>11.5</v>
      </c>
      <c r="G9">
        <v>14.5</v>
      </c>
      <c r="H9">
        <v>14.5</v>
      </c>
      <c r="I9">
        <v>15</v>
      </c>
      <c r="J9">
        <v>15</v>
      </c>
      <c r="K9">
        <f t="shared" ca="1" si="0"/>
        <v>9</v>
      </c>
    </row>
    <row r="10" spans="1:11" ht="15.75" x14ac:dyDescent="0.25">
      <c r="A10">
        <v>9</v>
      </c>
      <c r="B10" s="1" t="s">
        <v>27</v>
      </c>
      <c r="C10" s="1" t="s">
        <v>28</v>
      </c>
      <c r="D10">
        <v>16.5</v>
      </c>
      <c r="E10">
        <v>17</v>
      </c>
      <c r="F10">
        <v>14</v>
      </c>
      <c r="G10">
        <v>15</v>
      </c>
      <c r="H10">
        <v>14</v>
      </c>
      <c r="I10">
        <v>15.5</v>
      </c>
      <c r="J10">
        <v>14.5</v>
      </c>
      <c r="K10">
        <f t="shared" ca="1" si="0"/>
        <v>11</v>
      </c>
    </row>
    <row r="11" spans="1:11" ht="15.75" x14ac:dyDescent="0.25">
      <c r="A11">
        <v>10</v>
      </c>
      <c r="B11" s="1" t="s">
        <v>29</v>
      </c>
      <c r="C11" s="1" t="s">
        <v>30</v>
      </c>
      <c r="D11">
        <v>16</v>
      </c>
      <c r="E11">
        <v>13.5</v>
      </c>
      <c r="F11">
        <v>14.5</v>
      </c>
      <c r="G11">
        <v>17</v>
      </c>
      <c r="H11">
        <v>12.5</v>
      </c>
      <c r="I11">
        <v>16</v>
      </c>
      <c r="J11">
        <v>14.5</v>
      </c>
      <c r="K11">
        <f t="shared" ca="1" si="0"/>
        <v>5</v>
      </c>
    </row>
    <row r="12" spans="1:11" ht="15.75" x14ac:dyDescent="0.25">
      <c r="A12">
        <v>11</v>
      </c>
      <c r="B12" s="1" t="s">
        <v>31</v>
      </c>
      <c r="C12" s="1" t="s">
        <v>32</v>
      </c>
      <c r="D12">
        <v>14.5</v>
      </c>
      <c r="E12">
        <v>13</v>
      </c>
      <c r="F12">
        <v>9</v>
      </c>
      <c r="G12">
        <v>14.5</v>
      </c>
      <c r="H12">
        <v>10</v>
      </c>
      <c r="I12">
        <v>14</v>
      </c>
      <c r="J12">
        <v>12.5</v>
      </c>
      <c r="K12">
        <f t="shared" ca="1" si="0"/>
        <v>13</v>
      </c>
    </row>
    <row r="13" spans="1:11" ht="16" x14ac:dyDescent="0.4">
      <c r="A13">
        <v>12</v>
      </c>
      <c r="B13" s="1" t="s">
        <v>33</v>
      </c>
      <c r="C13" s="1" t="s">
        <v>34</v>
      </c>
      <c r="D13">
        <v>12.5</v>
      </c>
      <c r="E13">
        <v>15.5</v>
      </c>
      <c r="F13">
        <v>12.5</v>
      </c>
      <c r="G13">
        <v>14.5</v>
      </c>
      <c r="H13">
        <v>9.5</v>
      </c>
      <c r="I13" s="2" t="s">
        <v>200</v>
      </c>
      <c r="J13">
        <v>12</v>
      </c>
      <c r="K13">
        <f t="shared" ca="1" si="0"/>
        <v>9</v>
      </c>
    </row>
    <row r="14" spans="1:11" ht="16" x14ac:dyDescent="0.4">
      <c r="A14">
        <v>13</v>
      </c>
      <c r="B14" s="1" t="s">
        <v>35</v>
      </c>
      <c r="C14" s="1" t="s">
        <v>36</v>
      </c>
      <c r="D14">
        <v>15.5</v>
      </c>
      <c r="E14">
        <v>15.5</v>
      </c>
      <c r="F14">
        <v>10.5</v>
      </c>
      <c r="G14">
        <v>13</v>
      </c>
      <c r="H14">
        <v>12.5</v>
      </c>
      <c r="I14" s="2" t="s">
        <v>200</v>
      </c>
      <c r="J14">
        <v>14.5</v>
      </c>
      <c r="K14">
        <f t="shared" ca="1" si="0"/>
        <v>8</v>
      </c>
    </row>
    <row r="15" spans="1:11" ht="15.75" x14ac:dyDescent="0.25">
      <c r="A15">
        <v>14</v>
      </c>
      <c r="B15" s="1" t="s">
        <v>37</v>
      </c>
      <c r="C15" s="1" t="s">
        <v>38</v>
      </c>
      <c r="D15">
        <v>14.5</v>
      </c>
      <c r="E15">
        <v>14</v>
      </c>
      <c r="F15">
        <v>13.5</v>
      </c>
      <c r="G15">
        <v>14.5</v>
      </c>
      <c r="H15">
        <v>13</v>
      </c>
      <c r="I15">
        <v>15</v>
      </c>
      <c r="J15">
        <v>11.5</v>
      </c>
      <c r="K15">
        <f t="shared" ca="1" si="0"/>
        <v>18</v>
      </c>
    </row>
    <row r="16" spans="1:11" ht="15.75" x14ac:dyDescent="0.25">
      <c r="A16">
        <v>15</v>
      </c>
      <c r="B16" s="1" t="s">
        <v>39</v>
      </c>
      <c r="C16" s="1" t="s">
        <v>40</v>
      </c>
      <c r="D16">
        <v>13.5</v>
      </c>
      <c r="E16">
        <v>13</v>
      </c>
      <c r="F16">
        <v>12.5</v>
      </c>
      <c r="G16">
        <v>15.5</v>
      </c>
      <c r="H16">
        <v>14</v>
      </c>
      <c r="I16">
        <v>10.5</v>
      </c>
      <c r="J16">
        <v>12.5</v>
      </c>
      <c r="K16">
        <f t="shared" ca="1" si="0"/>
        <v>17</v>
      </c>
    </row>
    <row r="17" spans="1:11" ht="15.75" x14ac:dyDescent="0.25">
      <c r="A17">
        <v>16</v>
      </c>
      <c r="B17" s="1" t="s">
        <v>41</v>
      </c>
      <c r="C17" s="1" t="s">
        <v>42</v>
      </c>
      <c r="D17">
        <v>16</v>
      </c>
      <c r="E17">
        <v>13.5</v>
      </c>
      <c r="F17">
        <v>11.5</v>
      </c>
      <c r="G17">
        <v>13</v>
      </c>
      <c r="H17">
        <v>14</v>
      </c>
      <c r="I17">
        <v>14</v>
      </c>
      <c r="J17">
        <v>13.5</v>
      </c>
      <c r="K17">
        <f t="shared" ca="1" si="0"/>
        <v>19</v>
      </c>
    </row>
    <row r="18" spans="1:11" ht="15.75" x14ac:dyDescent="0.25">
      <c r="A18">
        <v>17</v>
      </c>
      <c r="B18" s="1" t="s">
        <v>43</v>
      </c>
      <c r="C18" s="1" t="s">
        <v>44</v>
      </c>
      <c r="D18">
        <v>13.5</v>
      </c>
      <c r="E18">
        <v>14.5</v>
      </c>
      <c r="F18">
        <v>12</v>
      </c>
      <c r="G18">
        <v>14</v>
      </c>
      <c r="H18">
        <v>9.5</v>
      </c>
      <c r="I18">
        <v>11.5</v>
      </c>
      <c r="J18">
        <v>10</v>
      </c>
      <c r="K18">
        <f t="shared" ca="1" si="0"/>
        <v>5</v>
      </c>
    </row>
    <row r="19" spans="1:11" ht="15.75" x14ac:dyDescent="0.25">
      <c r="A19">
        <v>18</v>
      </c>
      <c r="B19" s="1" t="s">
        <v>45</v>
      </c>
      <c r="C19" s="1" t="s">
        <v>46</v>
      </c>
      <c r="D19">
        <v>17</v>
      </c>
      <c r="E19">
        <v>16.5</v>
      </c>
      <c r="F19">
        <v>14</v>
      </c>
      <c r="G19">
        <v>14</v>
      </c>
      <c r="H19">
        <v>13.5</v>
      </c>
      <c r="I19">
        <v>16</v>
      </c>
      <c r="J19">
        <v>13.5</v>
      </c>
      <c r="K19">
        <f t="shared" ca="1" si="0"/>
        <v>7</v>
      </c>
    </row>
    <row r="20" spans="1:11" ht="15.75" x14ac:dyDescent="0.25">
      <c r="A20">
        <v>19</v>
      </c>
      <c r="B20" s="1" t="s">
        <v>47</v>
      </c>
      <c r="C20" s="1" t="s">
        <v>48</v>
      </c>
      <c r="D20">
        <v>17</v>
      </c>
      <c r="E20">
        <v>13.5</v>
      </c>
      <c r="F20">
        <v>15.5</v>
      </c>
      <c r="G20">
        <v>17</v>
      </c>
      <c r="H20">
        <v>14</v>
      </c>
      <c r="I20">
        <v>13.5</v>
      </c>
      <c r="J20">
        <v>13.5</v>
      </c>
      <c r="K20">
        <f t="shared" ca="1" si="0"/>
        <v>15</v>
      </c>
    </row>
    <row r="21" spans="1:11" ht="16" x14ac:dyDescent="0.4">
      <c r="A21">
        <v>20</v>
      </c>
      <c r="B21" s="1" t="s">
        <v>49</v>
      </c>
      <c r="C21" s="1" t="s">
        <v>50</v>
      </c>
      <c r="D21">
        <v>12</v>
      </c>
      <c r="E21">
        <v>12</v>
      </c>
      <c r="F21">
        <v>12</v>
      </c>
      <c r="G21">
        <v>13.5</v>
      </c>
      <c r="H21">
        <v>11.5</v>
      </c>
      <c r="I21" s="2" t="s">
        <v>200</v>
      </c>
      <c r="J21">
        <v>11.5</v>
      </c>
      <c r="K21">
        <f t="shared" ca="1" si="0"/>
        <v>12</v>
      </c>
    </row>
    <row r="22" spans="1:11" ht="15.75" x14ac:dyDescent="0.25">
      <c r="A22">
        <v>21</v>
      </c>
      <c r="B22" s="1" t="s">
        <v>51</v>
      </c>
      <c r="C22" s="1" t="s">
        <v>52</v>
      </c>
      <c r="D22">
        <v>15.5</v>
      </c>
      <c r="E22">
        <v>15.5</v>
      </c>
      <c r="F22">
        <v>11</v>
      </c>
      <c r="G22">
        <v>15.5</v>
      </c>
      <c r="H22">
        <v>15</v>
      </c>
      <c r="I22">
        <v>17</v>
      </c>
      <c r="J22">
        <v>12.5</v>
      </c>
      <c r="K22">
        <f t="shared" ca="1" si="0"/>
        <v>8</v>
      </c>
    </row>
    <row r="23" spans="1:11" ht="15.75" x14ac:dyDescent="0.25">
      <c r="A23">
        <v>22</v>
      </c>
      <c r="B23" s="1" t="s">
        <v>53</v>
      </c>
      <c r="C23" s="1" t="s">
        <v>54</v>
      </c>
      <c r="D23">
        <v>18.5</v>
      </c>
      <c r="E23">
        <v>16.5</v>
      </c>
      <c r="F23">
        <v>14</v>
      </c>
      <c r="G23">
        <v>15</v>
      </c>
      <c r="H23">
        <v>12</v>
      </c>
      <c r="I23">
        <v>12</v>
      </c>
      <c r="J23">
        <v>14</v>
      </c>
      <c r="K23">
        <f t="shared" ca="1" si="0"/>
        <v>20</v>
      </c>
    </row>
    <row r="24" spans="1:11" ht="15.75" x14ac:dyDescent="0.25">
      <c r="A24">
        <v>23</v>
      </c>
      <c r="B24" s="1" t="s">
        <v>55</v>
      </c>
      <c r="C24" s="1" t="s">
        <v>56</v>
      </c>
      <c r="D24">
        <v>16.5</v>
      </c>
      <c r="E24">
        <v>15</v>
      </c>
      <c r="F24">
        <v>10</v>
      </c>
      <c r="G24">
        <v>15.5</v>
      </c>
      <c r="H24">
        <v>14</v>
      </c>
      <c r="I24">
        <v>13.5</v>
      </c>
      <c r="J24">
        <v>12.5</v>
      </c>
      <c r="K24">
        <f t="shared" ca="1" si="0"/>
        <v>14</v>
      </c>
    </row>
    <row r="25" spans="1:11" ht="15.75" x14ac:dyDescent="0.25">
      <c r="A25">
        <v>24</v>
      </c>
      <c r="B25" s="1" t="s">
        <v>57</v>
      </c>
      <c r="C25" s="1" t="s">
        <v>58</v>
      </c>
      <c r="D25">
        <v>20</v>
      </c>
      <c r="E25">
        <v>19</v>
      </c>
      <c r="F25">
        <v>14.5</v>
      </c>
      <c r="G25">
        <v>15</v>
      </c>
      <c r="H25">
        <v>16</v>
      </c>
      <c r="I25">
        <v>17</v>
      </c>
      <c r="J25">
        <v>16</v>
      </c>
      <c r="K25">
        <f t="shared" ref="K25:K71" ca="1" si="1">RANDBETWEEN(5,20)</f>
        <v>5</v>
      </c>
    </row>
    <row r="26" spans="1:11" ht="16" x14ac:dyDescent="0.4">
      <c r="A26">
        <v>25</v>
      </c>
      <c r="B26" s="1" t="s">
        <v>59</v>
      </c>
      <c r="C26" s="1" t="s">
        <v>60</v>
      </c>
      <c r="D26">
        <v>16.5</v>
      </c>
      <c r="E26">
        <v>15</v>
      </c>
      <c r="F26">
        <v>15.5</v>
      </c>
      <c r="G26">
        <v>15</v>
      </c>
      <c r="H26">
        <v>14</v>
      </c>
      <c r="I26" s="2" t="s">
        <v>200</v>
      </c>
      <c r="J26">
        <v>13</v>
      </c>
      <c r="K26">
        <f t="shared" ca="1" si="1"/>
        <v>16</v>
      </c>
    </row>
    <row r="27" spans="1:11" ht="15.75" x14ac:dyDescent="0.25">
      <c r="A27">
        <v>26</v>
      </c>
      <c r="B27" s="1" t="s">
        <v>61</v>
      </c>
      <c r="C27" s="1" t="s">
        <v>62</v>
      </c>
      <c r="D27">
        <v>12.5</v>
      </c>
      <c r="E27">
        <v>9.5</v>
      </c>
      <c r="F27">
        <v>14</v>
      </c>
      <c r="G27">
        <v>13</v>
      </c>
      <c r="H27">
        <v>9.5</v>
      </c>
      <c r="I27">
        <v>12</v>
      </c>
      <c r="J27">
        <v>12.5</v>
      </c>
      <c r="K27">
        <f t="shared" ca="1" si="1"/>
        <v>7</v>
      </c>
    </row>
    <row r="28" spans="1:11" ht="15.75" x14ac:dyDescent="0.25">
      <c r="A28">
        <v>27</v>
      </c>
      <c r="B28" s="1" t="s">
        <v>63</v>
      </c>
      <c r="C28" s="1" t="s">
        <v>64</v>
      </c>
      <c r="D28">
        <v>19.5</v>
      </c>
      <c r="E28">
        <v>19</v>
      </c>
      <c r="F28">
        <v>16</v>
      </c>
      <c r="G28">
        <v>16.5</v>
      </c>
      <c r="H28">
        <v>16.5</v>
      </c>
      <c r="I28">
        <v>15</v>
      </c>
      <c r="J28">
        <v>17</v>
      </c>
      <c r="K28">
        <f t="shared" ca="1" si="1"/>
        <v>20</v>
      </c>
    </row>
    <row r="29" spans="1:11" ht="15.75" x14ac:dyDescent="0.25">
      <c r="A29">
        <v>28</v>
      </c>
      <c r="B29" s="1" t="s">
        <v>65</v>
      </c>
      <c r="C29" s="1" t="s">
        <v>66</v>
      </c>
      <c r="D29">
        <v>17</v>
      </c>
      <c r="E29">
        <v>17.5</v>
      </c>
      <c r="F29">
        <v>16</v>
      </c>
      <c r="G29">
        <v>15.5</v>
      </c>
      <c r="H29">
        <v>13.5</v>
      </c>
      <c r="I29">
        <v>17.5</v>
      </c>
      <c r="J29">
        <v>12.5</v>
      </c>
      <c r="K29">
        <f t="shared" ca="1" si="1"/>
        <v>16</v>
      </c>
    </row>
    <row r="30" spans="1:11" ht="15.75" x14ac:dyDescent="0.25">
      <c r="A30">
        <v>29</v>
      </c>
      <c r="B30" s="1" t="s">
        <v>67</v>
      </c>
      <c r="C30" s="1" t="s">
        <v>68</v>
      </c>
      <c r="D30">
        <v>15.5</v>
      </c>
      <c r="E30">
        <v>16.5</v>
      </c>
      <c r="F30">
        <v>14.5</v>
      </c>
      <c r="G30">
        <v>16.5</v>
      </c>
      <c r="H30">
        <v>13.5</v>
      </c>
      <c r="I30">
        <v>15</v>
      </c>
      <c r="J30">
        <v>15.5</v>
      </c>
      <c r="K30">
        <f t="shared" ca="1" si="1"/>
        <v>16</v>
      </c>
    </row>
    <row r="31" spans="1:11" ht="15.75" x14ac:dyDescent="0.25">
      <c r="A31">
        <v>30</v>
      </c>
      <c r="B31" s="1" t="s">
        <v>69</v>
      </c>
      <c r="C31" s="1" t="s">
        <v>70</v>
      </c>
      <c r="D31">
        <v>14.5</v>
      </c>
      <c r="E31">
        <v>13</v>
      </c>
      <c r="F31">
        <v>13.5</v>
      </c>
      <c r="G31">
        <v>15.5</v>
      </c>
      <c r="H31">
        <v>14</v>
      </c>
      <c r="I31">
        <v>14.5</v>
      </c>
      <c r="J31">
        <v>11</v>
      </c>
      <c r="K31">
        <f t="shared" ca="1" si="1"/>
        <v>20</v>
      </c>
    </row>
    <row r="32" spans="1:11" ht="16" x14ac:dyDescent="0.4">
      <c r="A32">
        <v>31</v>
      </c>
      <c r="B32" s="1" t="s">
        <v>71</v>
      </c>
      <c r="C32" s="1" t="s">
        <v>72</v>
      </c>
      <c r="D32" s="2" t="s">
        <v>200</v>
      </c>
      <c r="E32">
        <v>15.5</v>
      </c>
      <c r="F32">
        <v>14</v>
      </c>
      <c r="G32">
        <v>15.5</v>
      </c>
      <c r="H32">
        <v>12</v>
      </c>
      <c r="I32">
        <v>12</v>
      </c>
      <c r="J32">
        <v>14</v>
      </c>
      <c r="K32">
        <f t="shared" ca="1" si="1"/>
        <v>10</v>
      </c>
    </row>
    <row r="33" spans="1:11" ht="16" x14ac:dyDescent="0.4">
      <c r="A33">
        <v>32</v>
      </c>
      <c r="B33" s="1" t="s">
        <v>73</v>
      </c>
      <c r="C33" s="1" t="s">
        <v>74</v>
      </c>
      <c r="D33">
        <v>19.5</v>
      </c>
      <c r="E33">
        <v>17</v>
      </c>
      <c r="F33">
        <v>12</v>
      </c>
      <c r="G33">
        <v>16.5</v>
      </c>
      <c r="H33">
        <v>14</v>
      </c>
      <c r="I33" s="2" t="s">
        <v>200</v>
      </c>
      <c r="J33">
        <v>15.5</v>
      </c>
      <c r="K33">
        <f t="shared" ca="1" si="1"/>
        <v>7</v>
      </c>
    </row>
    <row r="34" spans="1:11" ht="15.75" x14ac:dyDescent="0.25">
      <c r="A34">
        <v>33</v>
      </c>
      <c r="B34" s="1" t="s">
        <v>75</v>
      </c>
      <c r="C34" s="1" t="s">
        <v>76</v>
      </c>
      <c r="D34">
        <v>18</v>
      </c>
      <c r="E34">
        <v>16.5</v>
      </c>
      <c r="F34">
        <v>15</v>
      </c>
      <c r="G34">
        <v>16.5</v>
      </c>
      <c r="H34">
        <v>13</v>
      </c>
      <c r="I34">
        <v>14</v>
      </c>
      <c r="J34">
        <v>14</v>
      </c>
      <c r="K34">
        <f t="shared" ca="1" si="1"/>
        <v>9</v>
      </c>
    </row>
    <row r="35" spans="1:11" ht="15.75" x14ac:dyDescent="0.25">
      <c r="A35">
        <v>34</v>
      </c>
      <c r="B35" s="1" t="s">
        <v>77</v>
      </c>
      <c r="C35" s="1" t="s">
        <v>78</v>
      </c>
      <c r="D35">
        <v>15.5</v>
      </c>
      <c r="E35">
        <v>15.5</v>
      </c>
      <c r="F35">
        <v>10.5</v>
      </c>
      <c r="G35">
        <v>13.5</v>
      </c>
      <c r="H35">
        <v>14.5</v>
      </c>
      <c r="I35">
        <v>12.5</v>
      </c>
      <c r="J35">
        <v>15.5</v>
      </c>
      <c r="K35">
        <f t="shared" ca="1" si="1"/>
        <v>18</v>
      </c>
    </row>
    <row r="36" spans="1:11" ht="15.75" x14ac:dyDescent="0.25">
      <c r="A36">
        <v>35</v>
      </c>
      <c r="B36" s="1" t="s">
        <v>79</v>
      </c>
      <c r="C36" s="1" t="s">
        <v>80</v>
      </c>
      <c r="D36">
        <v>17</v>
      </c>
      <c r="E36">
        <v>12.5</v>
      </c>
      <c r="F36">
        <v>12</v>
      </c>
      <c r="G36">
        <v>14.5</v>
      </c>
      <c r="H36">
        <v>14.5</v>
      </c>
      <c r="I36">
        <v>15</v>
      </c>
      <c r="J36">
        <v>13.5</v>
      </c>
      <c r="K36">
        <f t="shared" ca="1" si="1"/>
        <v>9</v>
      </c>
    </row>
    <row r="37" spans="1:11" ht="15.75" x14ac:dyDescent="0.25">
      <c r="A37">
        <v>36</v>
      </c>
      <c r="B37" s="1" t="s">
        <v>81</v>
      </c>
      <c r="C37" s="1" t="s">
        <v>82</v>
      </c>
      <c r="D37">
        <v>18</v>
      </c>
      <c r="E37">
        <v>16</v>
      </c>
      <c r="F37">
        <v>14</v>
      </c>
      <c r="G37">
        <v>15.5</v>
      </c>
      <c r="H37">
        <v>12.5</v>
      </c>
      <c r="I37">
        <v>15.5</v>
      </c>
      <c r="J37">
        <v>15</v>
      </c>
      <c r="K37">
        <f t="shared" ca="1" si="1"/>
        <v>12</v>
      </c>
    </row>
    <row r="38" spans="1:11" ht="15.75" x14ac:dyDescent="0.25">
      <c r="A38">
        <v>37</v>
      </c>
      <c r="B38" s="1" t="s">
        <v>83</v>
      </c>
      <c r="C38" s="1" t="s">
        <v>84</v>
      </c>
      <c r="D38">
        <v>14</v>
      </c>
      <c r="E38">
        <v>15</v>
      </c>
      <c r="F38">
        <v>15.5</v>
      </c>
      <c r="G38">
        <v>15.5</v>
      </c>
      <c r="H38">
        <v>16</v>
      </c>
      <c r="I38">
        <v>15</v>
      </c>
      <c r="J38">
        <v>15</v>
      </c>
      <c r="K38">
        <f t="shared" ca="1" si="1"/>
        <v>15</v>
      </c>
    </row>
    <row r="39" spans="1:11" ht="16" x14ac:dyDescent="0.4">
      <c r="A39">
        <v>38</v>
      </c>
      <c r="B39" s="1" t="s">
        <v>85</v>
      </c>
      <c r="C39" s="1" t="s">
        <v>86</v>
      </c>
      <c r="D39">
        <v>13</v>
      </c>
      <c r="E39">
        <v>14</v>
      </c>
      <c r="F39">
        <v>14.5</v>
      </c>
      <c r="G39">
        <v>15.5</v>
      </c>
      <c r="H39">
        <v>12.5</v>
      </c>
      <c r="I39" s="2" t="s">
        <v>200</v>
      </c>
      <c r="J39">
        <v>15</v>
      </c>
      <c r="K39">
        <f t="shared" ca="1" si="1"/>
        <v>13</v>
      </c>
    </row>
    <row r="40" spans="1:11" ht="16" x14ac:dyDescent="0.4">
      <c r="A40">
        <v>39</v>
      </c>
      <c r="B40" s="1" t="s">
        <v>87</v>
      </c>
      <c r="C40" s="1" t="s">
        <v>88</v>
      </c>
      <c r="D40">
        <v>14</v>
      </c>
      <c r="E40">
        <v>15.5</v>
      </c>
      <c r="F40">
        <v>14.5</v>
      </c>
      <c r="G40">
        <v>15.5</v>
      </c>
      <c r="H40">
        <v>10.5</v>
      </c>
      <c r="I40" s="2" t="s">
        <v>200</v>
      </c>
      <c r="J40">
        <v>15</v>
      </c>
      <c r="K40">
        <f t="shared" ca="1" si="1"/>
        <v>14</v>
      </c>
    </row>
    <row r="41" spans="1:11" ht="15.75" x14ac:dyDescent="0.25">
      <c r="A41">
        <v>40</v>
      </c>
      <c r="B41" s="1" t="s">
        <v>89</v>
      </c>
      <c r="C41" s="1" t="s">
        <v>90</v>
      </c>
      <c r="D41">
        <v>18</v>
      </c>
      <c r="E41">
        <v>18.5</v>
      </c>
      <c r="F41">
        <v>12</v>
      </c>
      <c r="G41">
        <v>11</v>
      </c>
      <c r="H41">
        <v>15</v>
      </c>
      <c r="I41">
        <v>14.5</v>
      </c>
      <c r="J41">
        <v>14.5</v>
      </c>
      <c r="K41">
        <f t="shared" ca="1" si="1"/>
        <v>17</v>
      </c>
    </row>
    <row r="42" spans="1:11" ht="15.75" x14ac:dyDescent="0.25">
      <c r="A42">
        <v>41</v>
      </c>
      <c r="B42" s="1" t="s">
        <v>91</v>
      </c>
      <c r="C42" s="1" t="s">
        <v>92</v>
      </c>
      <c r="D42">
        <v>16.5</v>
      </c>
      <c r="E42">
        <v>17.5</v>
      </c>
      <c r="F42">
        <v>14</v>
      </c>
      <c r="G42">
        <v>14.5</v>
      </c>
      <c r="H42">
        <v>10.5</v>
      </c>
      <c r="I42">
        <v>11.5</v>
      </c>
      <c r="J42">
        <v>12</v>
      </c>
      <c r="K42">
        <f t="shared" ca="1" si="1"/>
        <v>9</v>
      </c>
    </row>
    <row r="43" spans="1:11" ht="15.75" x14ac:dyDescent="0.25">
      <c r="A43">
        <v>42</v>
      </c>
      <c r="B43" s="1" t="s">
        <v>93</v>
      </c>
      <c r="C43" s="1" t="s">
        <v>94</v>
      </c>
      <c r="D43">
        <v>18</v>
      </c>
      <c r="E43">
        <v>18.5</v>
      </c>
      <c r="F43">
        <v>15.5</v>
      </c>
      <c r="G43">
        <v>16.5</v>
      </c>
      <c r="H43">
        <v>15.5</v>
      </c>
      <c r="I43">
        <v>15.5</v>
      </c>
      <c r="J43">
        <v>16</v>
      </c>
      <c r="K43">
        <f t="shared" ca="1" si="1"/>
        <v>19</v>
      </c>
    </row>
    <row r="44" spans="1:11" ht="15.75" x14ac:dyDescent="0.25">
      <c r="A44">
        <v>43</v>
      </c>
      <c r="B44" s="1" t="s">
        <v>95</v>
      </c>
      <c r="C44" s="1" t="s">
        <v>96</v>
      </c>
      <c r="D44">
        <v>18.5</v>
      </c>
      <c r="E44">
        <v>17</v>
      </c>
      <c r="F44">
        <v>13.5</v>
      </c>
      <c r="G44">
        <v>15</v>
      </c>
      <c r="H44">
        <v>13</v>
      </c>
      <c r="I44">
        <v>13</v>
      </c>
      <c r="J44">
        <v>17</v>
      </c>
      <c r="K44">
        <f t="shared" ca="1" si="1"/>
        <v>6</v>
      </c>
    </row>
    <row r="45" spans="1:11" ht="16" x14ac:dyDescent="0.4">
      <c r="A45">
        <v>44</v>
      </c>
      <c r="B45" s="1" t="s">
        <v>97</v>
      </c>
      <c r="C45" s="1" t="s">
        <v>98</v>
      </c>
      <c r="D45">
        <v>13.5</v>
      </c>
      <c r="E45">
        <v>16.5</v>
      </c>
      <c r="F45" s="2" t="s">
        <v>200</v>
      </c>
      <c r="G45">
        <v>14.5</v>
      </c>
      <c r="H45">
        <v>13</v>
      </c>
      <c r="I45">
        <v>14</v>
      </c>
      <c r="J45">
        <v>15</v>
      </c>
      <c r="K45">
        <f t="shared" ca="1" si="1"/>
        <v>12</v>
      </c>
    </row>
    <row r="46" spans="1:11" ht="15.75" x14ac:dyDescent="0.25">
      <c r="A46">
        <v>45</v>
      </c>
      <c r="B46" s="1" t="s">
        <v>99</v>
      </c>
      <c r="C46" s="1" t="s">
        <v>100</v>
      </c>
      <c r="D46">
        <v>16</v>
      </c>
      <c r="E46">
        <v>16</v>
      </c>
      <c r="F46">
        <v>13.5</v>
      </c>
      <c r="G46">
        <v>16.5</v>
      </c>
      <c r="H46">
        <v>14</v>
      </c>
      <c r="I46">
        <v>14</v>
      </c>
      <c r="J46">
        <v>13.5</v>
      </c>
      <c r="K46">
        <f t="shared" ca="1" si="1"/>
        <v>10</v>
      </c>
    </row>
    <row r="47" spans="1:11" ht="15.75" x14ac:dyDescent="0.25">
      <c r="A47">
        <v>46</v>
      </c>
      <c r="B47" s="1" t="s">
        <v>101</v>
      </c>
      <c r="C47" s="1" t="s">
        <v>102</v>
      </c>
      <c r="D47">
        <v>12.5</v>
      </c>
      <c r="E47">
        <v>13</v>
      </c>
      <c r="F47">
        <v>11.5</v>
      </c>
      <c r="G47">
        <v>13.5</v>
      </c>
      <c r="H47">
        <v>9.5</v>
      </c>
      <c r="I47">
        <v>13</v>
      </c>
      <c r="J47">
        <v>12</v>
      </c>
      <c r="K47">
        <f t="shared" ca="1" si="1"/>
        <v>20</v>
      </c>
    </row>
    <row r="48" spans="1:11" ht="15.75" x14ac:dyDescent="0.25">
      <c r="A48">
        <v>47</v>
      </c>
      <c r="B48" s="1" t="s">
        <v>103</v>
      </c>
      <c r="C48" s="1" t="s">
        <v>104</v>
      </c>
      <c r="D48">
        <v>16</v>
      </c>
      <c r="E48">
        <v>13</v>
      </c>
      <c r="F48">
        <v>10.5</v>
      </c>
      <c r="G48">
        <v>14</v>
      </c>
      <c r="H48">
        <v>12.5</v>
      </c>
      <c r="I48">
        <v>14.5</v>
      </c>
      <c r="J48">
        <v>14</v>
      </c>
      <c r="K48">
        <f t="shared" ca="1" si="1"/>
        <v>11</v>
      </c>
    </row>
    <row r="49" spans="1:11" ht="15.75" x14ac:dyDescent="0.25">
      <c r="A49">
        <v>48</v>
      </c>
      <c r="B49" s="1" t="s">
        <v>105</v>
      </c>
      <c r="C49" s="1" t="s">
        <v>106</v>
      </c>
      <c r="D49">
        <v>14.5</v>
      </c>
      <c r="E49">
        <v>12.5</v>
      </c>
      <c r="F49">
        <v>12</v>
      </c>
      <c r="G49">
        <v>14</v>
      </c>
      <c r="H49">
        <v>14</v>
      </c>
      <c r="I49">
        <v>13.5</v>
      </c>
      <c r="J49">
        <v>16</v>
      </c>
      <c r="K49">
        <f t="shared" ca="1" si="1"/>
        <v>14</v>
      </c>
    </row>
    <row r="50" spans="1:11" ht="15.75" x14ac:dyDescent="0.25">
      <c r="A50">
        <v>49</v>
      </c>
      <c r="B50" s="1" t="s">
        <v>107</v>
      </c>
      <c r="C50" s="1" t="s">
        <v>108</v>
      </c>
      <c r="D50">
        <v>16.5</v>
      </c>
      <c r="E50">
        <v>18</v>
      </c>
      <c r="F50">
        <v>14</v>
      </c>
      <c r="G50">
        <v>15</v>
      </c>
      <c r="H50">
        <v>10.5</v>
      </c>
      <c r="I50">
        <v>15.5</v>
      </c>
      <c r="J50">
        <v>14.5</v>
      </c>
      <c r="K50">
        <f t="shared" ca="1" si="1"/>
        <v>6</v>
      </c>
    </row>
    <row r="51" spans="1:11" ht="16" x14ac:dyDescent="0.4">
      <c r="A51">
        <v>50</v>
      </c>
      <c r="B51" s="1" t="s">
        <v>109</v>
      </c>
      <c r="C51" s="1" t="s">
        <v>110</v>
      </c>
      <c r="D51">
        <v>16.5</v>
      </c>
      <c r="E51">
        <v>15</v>
      </c>
      <c r="F51">
        <v>11.5</v>
      </c>
      <c r="G51">
        <v>14</v>
      </c>
      <c r="H51">
        <v>13.5</v>
      </c>
      <c r="I51" s="2" t="s">
        <v>200</v>
      </c>
      <c r="J51">
        <v>14</v>
      </c>
      <c r="K51">
        <f t="shared" ca="1" si="1"/>
        <v>8</v>
      </c>
    </row>
    <row r="52" spans="1:11" ht="15.75" x14ac:dyDescent="0.25">
      <c r="A52">
        <v>51</v>
      </c>
      <c r="B52" s="1" t="s">
        <v>111</v>
      </c>
      <c r="C52" s="1" t="s">
        <v>112</v>
      </c>
      <c r="D52">
        <v>19</v>
      </c>
      <c r="E52">
        <v>19</v>
      </c>
      <c r="F52">
        <v>15.5</v>
      </c>
      <c r="G52">
        <v>16</v>
      </c>
      <c r="H52">
        <v>16.5</v>
      </c>
      <c r="I52">
        <v>16</v>
      </c>
      <c r="J52">
        <v>15.5</v>
      </c>
      <c r="K52">
        <f t="shared" ca="1" si="1"/>
        <v>7</v>
      </c>
    </row>
    <row r="53" spans="1:11" ht="15.75" x14ac:dyDescent="0.25">
      <c r="A53">
        <v>52</v>
      </c>
      <c r="B53" s="1" t="s">
        <v>113</v>
      </c>
      <c r="C53" s="1" t="s">
        <v>114</v>
      </c>
      <c r="D53">
        <v>19</v>
      </c>
      <c r="E53">
        <v>20</v>
      </c>
      <c r="F53">
        <v>14</v>
      </c>
      <c r="G53">
        <v>15</v>
      </c>
      <c r="H53">
        <v>14</v>
      </c>
      <c r="I53">
        <v>14</v>
      </c>
      <c r="J53">
        <v>15.5</v>
      </c>
      <c r="K53">
        <f t="shared" ca="1" si="1"/>
        <v>10</v>
      </c>
    </row>
    <row r="54" spans="1:11" ht="15.75" x14ac:dyDescent="0.25">
      <c r="A54">
        <v>53</v>
      </c>
      <c r="B54" s="1" t="s">
        <v>115</v>
      </c>
      <c r="C54" s="1" t="s">
        <v>116</v>
      </c>
      <c r="D54">
        <v>19</v>
      </c>
      <c r="E54">
        <v>18</v>
      </c>
      <c r="F54">
        <v>17</v>
      </c>
      <c r="G54">
        <v>17</v>
      </c>
      <c r="H54">
        <v>15.5</v>
      </c>
      <c r="I54">
        <v>16.5</v>
      </c>
      <c r="J54">
        <v>16</v>
      </c>
      <c r="K54">
        <f t="shared" ca="1" si="1"/>
        <v>6</v>
      </c>
    </row>
    <row r="55" spans="1:11" ht="15.75" x14ac:dyDescent="0.25">
      <c r="A55">
        <v>54</v>
      </c>
      <c r="B55" s="1" t="s">
        <v>117</v>
      </c>
      <c r="C55" s="1" t="s">
        <v>118</v>
      </c>
      <c r="D55">
        <v>9</v>
      </c>
      <c r="E55">
        <v>11.5</v>
      </c>
      <c r="F55">
        <v>12.5</v>
      </c>
      <c r="G55">
        <v>15</v>
      </c>
      <c r="H55">
        <v>14</v>
      </c>
      <c r="I55">
        <v>12.5</v>
      </c>
      <c r="J55">
        <v>11.5</v>
      </c>
      <c r="K55">
        <f t="shared" ca="1" si="1"/>
        <v>18</v>
      </c>
    </row>
    <row r="56" spans="1:11" ht="15.75" x14ac:dyDescent="0.25">
      <c r="A56">
        <v>55</v>
      </c>
      <c r="B56" s="1" t="s">
        <v>119</v>
      </c>
      <c r="C56" s="1" t="s">
        <v>120</v>
      </c>
      <c r="D56">
        <v>14</v>
      </c>
      <c r="E56">
        <v>13.5</v>
      </c>
      <c r="F56">
        <v>13</v>
      </c>
      <c r="G56">
        <v>15.5</v>
      </c>
      <c r="H56">
        <v>11.5</v>
      </c>
      <c r="I56">
        <v>12.5</v>
      </c>
      <c r="J56">
        <v>13.5</v>
      </c>
      <c r="K56">
        <f t="shared" ca="1" si="1"/>
        <v>17</v>
      </c>
    </row>
    <row r="57" spans="1:11" ht="15.75" x14ac:dyDescent="0.25">
      <c r="A57">
        <v>56</v>
      </c>
      <c r="B57" s="1" t="s">
        <v>121</v>
      </c>
      <c r="C57" s="1" t="s">
        <v>122</v>
      </c>
      <c r="D57">
        <v>18.5</v>
      </c>
      <c r="E57">
        <v>16.5</v>
      </c>
      <c r="F57">
        <v>14.5</v>
      </c>
      <c r="G57">
        <v>14.5</v>
      </c>
      <c r="H57">
        <v>14</v>
      </c>
      <c r="I57">
        <v>11.5</v>
      </c>
      <c r="J57">
        <v>14</v>
      </c>
      <c r="K57">
        <f t="shared" ca="1" si="1"/>
        <v>7</v>
      </c>
    </row>
    <row r="58" spans="1:11" ht="15.75" x14ac:dyDescent="0.25">
      <c r="A58">
        <v>57</v>
      </c>
      <c r="B58" s="1" t="s">
        <v>123</v>
      </c>
      <c r="C58" s="1" t="s">
        <v>124</v>
      </c>
      <c r="D58">
        <v>16.5</v>
      </c>
      <c r="E58">
        <v>13.5</v>
      </c>
      <c r="F58">
        <v>13.5</v>
      </c>
      <c r="G58">
        <v>14.5</v>
      </c>
      <c r="H58">
        <v>12.5</v>
      </c>
      <c r="I58">
        <v>11</v>
      </c>
      <c r="J58">
        <v>13.5</v>
      </c>
      <c r="K58">
        <f t="shared" ca="1" si="1"/>
        <v>8</v>
      </c>
    </row>
    <row r="59" spans="1:11" ht="15.75" x14ac:dyDescent="0.25">
      <c r="A59">
        <v>58</v>
      </c>
      <c r="B59" s="1" t="s">
        <v>125</v>
      </c>
      <c r="C59" s="1" t="s">
        <v>126</v>
      </c>
      <c r="D59">
        <v>18</v>
      </c>
      <c r="E59">
        <v>16</v>
      </c>
      <c r="F59">
        <v>14</v>
      </c>
      <c r="G59">
        <v>15.5</v>
      </c>
      <c r="H59">
        <v>13.5</v>
      </c>
      <c r="I59">
        <v>14.5</v>
      </c>
      <c r="J59">
        <v>17</v>
      </c>
      <c r="K59">
        <f t="shared" ca="1" si="1"/>
        <v>9</v>
      </c>
    </row>
    <row r="60" spans="1:11" ht="15.75" x14ac:dyDescent="0.25">
      <c r="A60">
        <v>59</v>
      </c>
      <c r="B60" s="1" t="s">
        <v>127</v>
      </c>
      <c r="C60" s="1" t="s">
        <v>128</v>
      </c>
      <c r="D60">
        <v>16</v>
      </c>
      <c r="E60">
        <v>14.5</v>
      </c>
      <c r="F60">
        <v>11.5</v>
      </c>
      <c r="G60">
        <v>14</v>
      </c>
      <c r="H60">
        <v>12.5</v>
      </c>
      <c r="I60">
        <v>15</v>
      </c>
      <c r="J60">
        <v>11</v>
      </c>
      <c r="K60">
        <f t="shared" ca="1" si="1"/>
        <v>5</v>
      </c>
    </row>
    <row r="61" spans="1:11" ht="15.75" x14ac:dyDescent="0.25">
      <c r="A61">
        <v>60</v>
      </c>
      <c r="B61" s="1" t="s">
        <v>129</v>
      </c>
      <c r="C61" s="1" t="s">
        <v>130</v>
      </c>
      <c r="D61">
        <v>14</v>
      </c>
      <c r="E61">
        <v>15</v>
      </c>
      <c r="F61">
        <v>13</v>
      </c>
      <c r="G61">
        <v>15.5</v>
      </c>
      <c r="H61">
        <v>11.5</v>
      </c>
      <c r="I61">
        <v>17</v>
      </c>
      <c r="J61">
        <v>13</v>
      </c>
      <c r="K61">
        <f t="shared" ca="1" si="1"/>
        <v>6</v>
      </c>
    </row>
    <row r="62" spans="1:11" ht="15.75" x14ac:dyDescent="0.25">
      <c r="A62">
        <v>61</v>
      </c>
      <c r="B62" s="1" t="s">
        <v>131</v>
      </c>
      <c r="C62" s="1" t="s">
        <v>132</v>
      </c>
      <c r="D62">
        <v>16</v>
      </c>
      <c r="E62">
        <v>15.5</v>
      </c>
      <c r="F62">
        <v>15.5</v>
      </c>
      <c r="G62">
        <v>14.5</v>
      </c>
      <c r="H62">
        <v>12.5</v>
      </c>
      <c r="I62">
        <v>15.5</v>
      </c>
      <c r="J62">
        <v>14</v>
      </c>
      <c r="K62">
        <f t="shared" ca="1" si="1"/>
        <v>9</v>
      </c>
    </row>
    <row r="63" spans="1:11" ht="16" x14ac:dyDescent="0.4">
      <c r="A63">
        <v>62</v>
      </c>
      <c r="B63" s="1" t="s">
        <v>133</v>
      </c>
      <c r="C63" s="1" t="s">
        <v>134</v>
      </c>
      <c r="D63">
        <v>13.5</v>
      </c>
      <c r="E63">
        <v>14.5</v>
      </c>
      <c r="F63">
        <v>13</v>
      </c>
      <c r="G63">
        <v>14.5</v>
      </c>
      <c r="H63">
        <v>13</v>
      </c>
      <c r="I63" s="2" t="s">
        <v>200</v>
      </c>
      <c r="J63">
        <v>13</v>
      </c>
      <c r="K63">
        <f t="shared" ca="1" si="1"/>
        <v>10</v>
      </c>
    </row>
    <row r="64" spans="1:11" ht="15.75" x14ac:dyDescent="0.25">
      <c r="A64">
        <v>63</v>
      </c>
      <c r="B64" s="1" t="s">
        <v>135</v>
      </c>
      <c r="C64" s="1" t="s">
        <v>136</v>
      </c>
      <c r="D64">
        <v>16.5</v>
      </c>
      <c r="E64">
        <v>15.5</v>
      </c>
      <c r="F64">
        <v>13.5</v>
      </c>
      <c r="G64">
        <v>13.5</v>
      </c>
      <c r="H64">
        <v>10.5</v>
      </c>
      <c r="I64">
        <v>11.5</v>
      </c>
      <c r="J64">
        <v>14.5</v>
      </c>
      <c r="K64">
        <f t="shared" ca="1" si="1"/>
        <v>15</v>
      </c>
    </row>
    <row r="65" spans="1:11" ht="15.75" x14ac:dyDescent="0.25">
      <c r="A65">
        <v>64</v>
      </c>
      <c r="B65" s="1" t="s">
        <v>137</v>
      </c>
      <c r="C65" s="1" t="s">
        <v>138</v>
      </c>
      <c r="D65">
        <v>15</v>
      </c>
      <c r="E65">
        <v>15</v>
      </c>
      <c r="F65">
        <v>10</v>
      </c>
      <c r="G65">
        <v>12.5</v>
      </c>
      <c r="H65">
        <v>13</v>
      </c>
      <c r="I65">
        <v>13</v>
      </c>
      <c r="J65">
        <v>14</v>
      </c>
      <c r="K65">
        <f t="shared" ca="1" si="1"/>
        <v>13</v>
      </c>
    </row>
    <row r="66" spans="1:11" ht="15.75" x14ac:dyDescent="0.25">
      <c r="A66">
        <v>65</v>
      </c>
      <c r="B66" s="1" t="s">
        <v>139</v>
      </c>
      <c r="C66" s="1" t="s">
        <v>140</v>
      </c>
      <c r="D66">
        <v>15</v>
      </c>
      <c r="E66">
        <v>15.5</v>
      </c>
      <c r="F66">
        <v>12.5</v>
      </c>
      <c r="G66">
        <v>14.5</v>
      </c>
      <c r="H66">
        <v>13.5</v>
      </c>
      <c r="I66">
        <v>14</v>
      </c>
      <c r="J66">
        <v>16</v>
      </c>
      <c r="K66">
        <f t="shared" ca="1" si="1"/>
        <v>15</v>
      </c>
    </row>
    <row r="67" spans="1:11" ht="15.75" x14ac:dyDescent="0.25">
      <c r="A67">
        <v>66</v>
      </c>
      <c r="B67" s="1" t="s">
        <v>141</v>
      </c>
      <c r="C67" s="1" t="s">
        <v>142</v>
      </c>
      <c r="D67">
        <v>15</v>
      </c>
      <c r="E67">
        <v>16</v>
      </c>
      <c r="F67">
        <v>16.5</v>
      </c>
      <c r="G67">
        <v>14.5</v>
      </c>
      <c r="H67">
        <v>15</v>
      </c>
      <c r="I67">
        <v>16</v>
      </c>
      <c r="J67">
        <v>15.5</v>
      </c>
      <c r="K67">
        <f t="shared" ca="1" si="1"/>
        <v>14</v>
      </c>
    </row>
    <row r="68" spans="1:11" ht="15.75" x14ac:dyDescent="0.25">
      <c r="A68">
        <v>67</v>
      </c>
      <c r="B68" s="1" t="s">
        <v>143</v>
      </c>
      <c r="C68" s="1" t="s">
        <v>144</v>
      </c>
      <c r="D68">
        <v>17</v>
      </c>
      <c r="E68">
        <v>16.5</v>
      </c>
      <c r="F68">
        <v>15</v>
      </c>
      <c r="G68">
        <v>15.5</v>
      </c>
      <c r="H68">
        <v>9.5</v>
      </c>
      <c r="I68">
        <v>13.5</v>
      </c>
      <c r="J68">
        <v>14.5</v>
      </c>
      <c r="K68">
        <f t="shared" ca="1" si="1"/>
        <v>15</v>
      </c>
    </row>
    <row r="69" spans="1:11" ht="15.75" x14ac:dyDescent="0.25">
      <c r="A69">
        <v>68</v>
      </c>
      <c r="B69" s="1" t="s">
        <v>145</v>
      </c>
      <c r="C69" s="1" t="s">
        <v>146</v>
      </c>
      <c r="D69">
        <v>14</v>
      </c>
      <c r="E69">
        <v>14</v>
      </c>
      <c r="F69">
        <v>11</v>
      </c>
      <c r="G69">
        <v>13.5</v>
      </c>
      <c r="H69">
        <v>13.5</v>
      </c>
      <c r="I69">
        <v>9.5</v>
      </c>
      <c r="J69">
        <v>13</v>
      </c>
      <c r="K69">
        <f t="shared" ca="1" si="1"/>
        <v>16</v>
      </c>
    </row>
    <row r="70" spans="1:11" ht="15.75" x14ac:dyDescent="0.25">
      <c r="A70">
        <v>69</v>
      </c>
      <c r="B70" s="1" t="s">
        <v>147</v>
      </c>
      <c r="C70" s="1" t="s">
        <v>148</v>
      </c>
      <c r="D70">
        <v>18.5</v>
      </c>
      <c r="E70">
        <v>18</v>
      </c>
      <c r="F70">
        <v>14</v>
      </c>
      <c r="G70">
        <v>16.5</v>
      </c>
      <c r="H70">
        <v>16.5</v>
      </c>
      <c r="I70">
        <v>17</v>
      </c>
      <c r="J70">
        <v>16</v>
      </c>
      <c r="K70">
        <f t="shared" ca="1" si="1"/>
        <v>15</v>
      </c>
    </row>
    <row r="71" spans="1:11" ht="15.75" x14ac:dyDescent="0.25">
      <c r="A71">
        <v>70</v>
      </c>
      <c r="B71" s="1" t="s">
        <v>149</v>
      </c>
      <c r="C71" s="1" t="s">
        <v>150</v>
      </c>
      <c r="D71">
        <v>17.5</v>
      </c>
      <c r="E71">
        <v>18.5</v>
      </c>
      <c r="F71">
        <v>16.5</v>
      </c>
      <c r="G71">
        <v>17</v>
      </c>
      <c r="H71">
        <v>15</v>
      </c>
      <c r="I71">
        <v>15</v>
      </c>
      <c r="J71">
        <v>17</v>
      </c>
      <c r="K71">
        <f t="shared" ca="1" si="1"/>
        <v>14</v>
      </c>
    </row>
    <row r="72" spans="1:11" ht="15.75" x14ac:dyDescent="0.25">
      <c r="A72">
        <v>71</v>
      </c>
      <c r="B72" s="1" t="s">
        <v>151</v>
      </c>
      <c r="C72" s="1" t="s">
        <v>152</v>
      </c>
      <c r="D72">
        <v>17</v>
      </c>
      <c r="E72">
        <v>17.5</v>
      </c>
      <c r="F72">
        <v>14.5</v>
      </c>
      <c r="G72">
        <v>15</v>
      </c>
      <c r="H72">
        <v>14</v>
      </c>
      <c r="I72">
        <v>13.5</v>
      </c>
      <c r="J72">
        <v>15</v>
      </c>
      <c r="K72">
        <f t="shared" ref="K72:K95" ca="1" si="2">RANDBETWEEN(5,20)</f>
        <v>16</v>
      </c>
    </row>
    <row r="73" spans="1:11" ht="15.75" x14ac:dyDescent="0.25">
      <c r="A73">
        <v>72</v>
      </c>
      <c r="B73" s="1" t="s">
        <v>153</v>
      </c>
      <c r="C73" s="1" t="s">
        <v>154</v>
      </c>
      <c r="D73">
        <v>16.5</v>
      </c>
      <c r="E73">
        <v>17</v>
      </c>
      <c r="F73">
        <v>12.5</v>
      </c>
      <c r="G73">
        <v>14.5</v>
      </c>
      <c r="H73">
        <v>15.5</v>
      </c>
      <c r="I73">
        <v>15.5</v>
      </c>
      <c r="J73">
        <v>14</v>
      </c>
      <c r="K73">
        <f t="shared" ca="1" si="2"/>
        <v>20</v>
      </c>
    </row>
    <row r="74" spans="1:11" ht="15.75" x14ac:dyDescent="0.25">
      <c r="A74">
        <v>73</v>
      </c>
      <c r="B74" s="1" t="s">
        <v>155</v>
      </c>
      <c r="C74" s="1" t="s">
        <v>156</v>
      </c>
      <c r="D74">
        <v>18.5</v>
      </c>
      <c r="E74">
        <v>17</v>
      </c>
      <c r="F74">
        <v>15.5</v>
      </c>
      <c r="G74">
        <v>16</v>
      </c>
      <c r="H74">
        <v>14</v>
      </c>
      <c r="I74">
        <v>15.5</v>
      </c>
      <c r="J74">
        <v>16</v>
      </c>
      <c r="K74">
        <f t="shared" ca="1" si="2"/>
        <v>11</v>
      </c>
    </row>
    <row r="75" spans="1:11" ht="15.75" x14ac:dyDescent="0.25">
      <c r="A75">
        <v>74</v>
      </c>
      <c r="B75" s="1" t="s">
        <v>157</v>
      </c>
      <c r="C75" s="1" t="s">
        <v>158</v>
      </c>
      <c r="D75">
        <v>14.5</v>
      </c>
      <c r="E75">
        <v>16</v>
      </c>
      <c r="F75">
        <v>15</v>
      </c>
      <c r="G75">
        <v>15.5</v>
      </c>
      <c r="H75">
        <v>14.5</v>
      </c>
      <c r="I75">
        <v>15.5</v>
      </c>
      <c r="J75">
        <v>14.5</v>
      </c>
      <c r="K75">
        <f t="shared" ca="1" si="2"/>
        <v>20</v>
      </c>
    </row>
    <row r="76" spans="1:11" ht="15.75" x14ac:dyDescent="0.25">
      <c r="A76">
        <v>75</v>
      </c>
      <c r="B76" s="1" t="s">
        <v>159</v>
      </c>
      <c r="C76" s="1" t="s">
        <v>160</v>
      </c>
      <c r="D76">
        <v>15</v>
      </c>
      <c r="E76">
        <v>14.5</v>
      </c>
      <c r="F76">
        <v>12</v>
      </c>
      <c r="G76">
        <v>16</v>
      </c>
      <c r="H76">
        <v>13.5</v>
      </c>
      <c r="I76">
        <v>14</v>
      </c>
      <c r="J76">
        <v>11</v>
      </c>
      <c r="K76">
        <f t="shared" ca="1" si="2"/>
        <v>12</v>
      </c>
    </row>
    <row r="77" spans="1:11" ht="15.75" x14ac:dyDescent="0.25">
      <c r="A77">
        <v>76</v>
      </c>
      <c r="B77" s="1" t="s">
        <v>161</v>
      </c>
      <c r="C77" s="1" t="s">
        <v>162</v>
      </c>
      <c r="D77">
        <v>12.5</v>
      </c>
      <c r="E77">
        <v>15</v>
      </c>
      <c r="F77">
        <v>13</v>
      </c>
      <c r="G77">
        <v>13</v>
      </c>
      <c r="H77">
        <v>10</v>
      </c>
      <c r="I77">
        <v>12.5</v>
      </c>
      <c r="J77">
        <v>12.5</v>
      </c>
      <c r="K77">
        <f t="shared" ca="1" si="2"/>
        <v>9</v>
      </c>
    </row>
    <row r="78" spans="1:11" ht="16" x14ac:dyDescent="0.4">
      <c r="A78">
        <v>77</v>
      </c>
      <c r="B78" s="1" t="s">
        <v>163</v>
      </c>
      <c r="C78" s="1" t="s">
        <v>164</v>
      </c>
      <c r="D78">
        <v>14</v>
      </c>
      <c r="E78">
        <v>14.5</v>
      </c>
      <c r="F78">
        <v>13</v>
      </c>
      <c r="G78">
        <v>12</v>
      </c>
      <c r="H78">
        <v>12.5</v>
      </c>
      <c r="I78" s="2" t="s">
        <v>200</v>
      </c>
      <c r="J78">
        <v>13</v>
      </c>
      <c r="K78">
        <f t="shared" ca="1" si="2"/>
        <v>20</v>
      </c>
    </row>
    <row r="79" spans="1:11" ht="15.75" x14ac:dyDescent="0.25">
      <c r="A79">
        <v>78</v>
      </c>
      <c r="B79" s="1" t="s">
        <v>165</v>
      </c>
      <c r="C79" s="1" t="s">
        <v>166</v>
      </c>
      <c r="D79">
        <v>17.5</v>
      </c>
      <c r="E79">
        <v>16.5</v>
      </c>
      <c r="F79">
        <v>15</v>
      </c>
      <c r="G79">
        <v>14.5</v>
      </c>
      <c r="H79">
        <v>11</v>
      </c>
      <c r="I79">
        <v>14.5</v>
      </c>
      <c r="J79">
        <v>16.5</v>
      </c>
      <c r="K79">
        <f t="shared" ca="1" si="2"/>
        <v>14</v>
      </c>
    </row>
    <row r="80" spans="1:11" ht="15.75" x14ac:dyDescent="0.25">
      <c r="A80">
        <v>79</v>
      </c>
      <c r="B80" s="1" t="s">
        <v>167</v>
      </c>
      <c r="C80" s="1" t="s">
        <v>168</v>
      </c>
      <c r="D80">
        <v>19.5</v>
      </c>
      <c r="E80">
        <v>18</v>
      </c>
      <c r="F80">
        <v>15.5</v>
      </c>
      <c r="G80">
        <v>15</v>
      </c>
      <c r="H80">
        <v>15.5</v>
      </c>
      <c r="I80">
        <v>15.5</v>
      </c>
      <c r="J80">
        <v>15.5</v>
      </c>
      <c r="K80">
        <f t="shared" ca="1" si="2"/>
        <v>15</v>
      </c>
    </row>
    <row r="81" spans="1:11" ht="15.75" x14ac:dyDescent="0.25">
      <c r="A81">
        <v>80</v>
      </c>
      <c r="B81" s="1" t="s">
        <v>169</v>
      </c>
      <c r="C81" s="1" t="s">
        <v>170</v>
      </c>
      <c r="D81">
        <v>16.5</v>
      </c>
      <c r="E81">
        <v>13</v>
      </c>
      <c r="F81">
        <v>10.5</v>
      </c>
      <c r="G81">
        <v>13</v>
      </c>
      <c r="H81">
        <v>12</v>
      </c>
      <c r="I81">
        <v>12.5</v>
      </c>
      <c r="J81">
        <v>13</v>
      </c>
      <c r="K81">
        <f t="shared" ca="1" si="2"/>
        <v>15</v>
      </c>
    </row>
    <row r="82" spans="1:11" ht="15.75" x14ac:dyDescent="0.25">
      <c r="A82">
        <v>81</v>
      </c>
      <c r="B82" s="1" t="s">
        <v>171</v>
      </c>
      <c r="C82" s="1" t="s">
        <v>172</v>
      </c>
      <c r="D82">
        <v>16.5</v>
      </c>
      <c r="E82">
        <v>15.5</v>
      </c>
      <c r="F82">
        <v>14</v>
      </c>
      <c r="G82">
        <v>15</v>
      </c>
      <c r="H82">
        <v>14.5</v>
      </c>
      <c r="I82">
        <v>13.5</v>
      </c>
      <c r="J82">
        <v>14.5</v>
      </c>
      <c r="K82">
        <f t="shared" ca="1" si="2"/>
        <v>18</v>
      </c>
    </row>
    <row r="83" spans="1:11" ht="15.75" x14ac:dyDescent="0.25">
      <c r="A83">
        <v>82</v>
      </c>
      <c r="B83" s="1" t="s">
        <v>173</v>
      </c>
      <c r="C83" s="1" t="s">
        <v>174</v>
      </c>
      <c r="D83">
        <v>18</v>
      </c>
      <c r="E83">
        <v>16.5</v>
      </c>
      <c r="F83">
        <v>13.5</v>
      </c>
      <c r="G83">
        <v>15</v>
      </c>
      <c r="H83">
        <v>13.5</v>
      </c>
      <c r="I83">
        <v>15</v>
      </c>
      <c r="J83">
        <v>13.5</v>
      </c>
      <c r="K83">
        <f t="shared" ca="1" si="2"/>
        <v>6</v>
      </c>
    </row>
    <row r="84" spans="1:11" ht="16" x14ac:dyDescent="0.4">
      <c r="A84">
        <v>83</v>
      </c>
      <c r="B84" s="1" t="s">
        <v>175</v>
      </c>
      <c r="C84" s="1" t="s">
        <v>176</v>
      </c>
      <c r="D84">
        <v>7</v>
      </c>
      <c r="E84">
        <v>8.5</v>
      </c>
      <c r="F84">
        <v>11</v>
      </c>
      <c r="G84">
        <v>12</v>
      </c>
      <c r="H84">
        <v>11.5</v>
      </c>
      <c r="I84" s="2" t="s">
        <v>200</v>
      </c>
      <c r="J84">
        <v>13</v>
      </c>
      <c r="K84">
        <f t="shared" ca="1" si="2"/>
        <v>7</v>
      </c>
    </row>
    <row r="85" spans="1:11" ht="16" x14ac:dyDescent="0.4">
      <c r="A85">
        <v>84</v>
      </c>
      <c r="B85" s="1" t="s">
        <v>177</v>
      </c>
      <c r="C85" s="1" t="s">
        <v>178</v>
      </c>
      <c r="D85">
        <v>16.5</v>
      </c>
      <c r="E85">
        <v>14</v>
      </c>
      <c r="F85">
        <v>11</v>
      </c>
      <c r="G85">
        <v>14</v>
      </c>
      <c r="H85">
        <v>11.5</v>
      </c>
      <c r="I85" s="2" t="s">
        <v>200</v>
      </c>
      <c r="J85">
        <v>12</v>
      </c>
      <c r="K85">
        <f t="shared" ca="1" si="2"/>
        <v>16</v>
      </c>
    </row>
    <row r="86" spans="1:11" ht="16" x14ac:dyDescent="0.4">
      <c r="A86">
        <v>85</v>
      </c>
      <c r="B86" s="1" t="s">
        <v>179</v>
      </c>
      <c r="C86" s="1" t="s">
        <v>180</v>
      </c>
      <c r="D86">
        <v>9.5</v>
      </c>
      <c r="E86">
        <v>11.5</v>
      </c>
      <c r="F86">
        <v>10.5</v>
      </c>
      <c r="G86">
        <v>12</v>
      </c>
      <c r="H86">
        <v>9</v>
      </c>
      <c r="I86" s="2" t="s">
        <v>200</v>
      </c>
      <c r="J86">
        <v>9.5</v>
      </c>
      <c r="K86">
        <f t="shared" ca="1" si="2"/>
        <v>5</v>
      </c>
    </row>
    <row r="87" spans="1:11" ht="15.75" x14ac:dyDescent="0.25">
      <c r="A87">
        <v>86</v>
      </c>
      <c r="B87" s="1" t="s">
        <v>181</v>
      </c>
      <c r="C87" s="1" t="s">
        <v>182</v>
      </c>
      <c r="D87">
        <v>15.5</v>
      </c>
      <c r="E87">
        <v>16</v>
      </c>
      <c r="F87">
        <v>15.5</v>
      </c>
      <c r="G87">
        <v>13.5</v>
      </c>
      <c r="H87">
        <v>13.5</v>
      </c>
      <c r="I87">
        <v>14.5</v>
      </c>
      <c r="J87">
        <v>15</v>
      </c>
      <c r="K87">
        <f t="shared" ca="1" si="2"/>
        <v>9</v>
      </c>
    </row>
    <row r="88" spans="1:11" ht="16" x14ac:dyDescent="0.4">
      <c r="A88">
        <v>87</v>
      </c>
      <c r="B88" s="1" t="s">
        <v>183</v>
      </c>
      <c r="C88" s="1" t="s">
        <v>184</v>
      </c>
      <c r="D88">
        <v>15</v>
      </c>
      <c r="E88">
        <v>12</v>
      </c>
      <c r="F88">
        <v>12.5</v>
      </c>
      <c r="G88">
        <v>14</v>
      </c>
      <c r="H88">
        <v>11</v>
      </c>
      <c r="I88" s="2" t="s">
        <v>200</v>
      </c>
      <c r="J88">
        <v>11</v>
      </c>
      <c r="K88">
        <f t="shared" ca="1" si="2"/>
        <v>7</v>
      </c>
    </row>
    <row r="89" spans="1:11" ht="15.75" x14ac:dyDescent="0.25">
      <c r="A89">
        <v>88</v>
      </c>
      <c r="B89" s="1" t="s">
        <v>185</v>
      </c>
      <c r="C89" s="1" t="s">
        <v>186</v>
      </c>
      <c r="D89">
        <v>14</v>
      </c>
      <c r="E89">
        <v>14.5</v>
      </c>
      <c r="F89">
        <v>11</v>
      </c>
      <c r="G89">
        <v>17.5</v>
      </c>
      <c r="H89">
        <v>12</v>
      </c>
      <c r="I89">
        <v>16</v>
      </c>
      <c r="J89">
        <v>14.5</v>
      </c>
      <c r="K89">
        <f t="shared" ca="1" si="2"/>
        <v>19</v>
      </c>
    </row>
    <row r="90" spans="1:11" ht="15.75" x14ac:dyDescent="0.25">
      <c r="A90">
        <v>89</v>
      </c>
      <c r="B90" s="1" t="s">
        <v>187</v>
      </c>
      <c r="C90" s="1" t="s">
        <v>188</v>
      </c>
      <c r="D90">
        <v>19</v>
      </c>
      <c r="E90">
        <v>17.5</v>
      </c>
      <c r="F90">
        <v>14</v>
      </c>
      <c r="G90">
        <v>12.5</v>
      </c>
      <c r="H90">
        <v>14</v>
      </c>
      <c r="I90">
        <v>16</v>
      </c>
      <c r="J90">
        <v>16</v>
      </c>
      <c r="K90">
        <f t="shared" ca="1" si="2"/>
        <v>11</v>
      </c>
    </row>
    <row r="91" spans="1:11" ht="15.75" x14ac:dyDescent="0.25">
      <c r="A91">
        <v>90</v>
      </c>
      <c r="B91" s="1" t="s">
        <v>189</v>
      </c>
      <c r="C91" s="1" t="s">
        <v>190</v>
      </c>
      <c r="D91">
        <v>18.5</v>
      </c>
      <c r="E91">
        <v>18</v>
      </c>
      <c r="F91">
        <v>13</v>
      </c>
      <c r="G91">
        <v>16</v>
      </c>
      <c r="H91">
        <v>16</v>
      </c>
      <c r="I91">
        <v>14.5</v>
      </c>
      <c r="J91">
        <v>15</v>
      </c>
      <c r="K91">
        <f t="shared" ca="1" si="2"/>
        <v>19</v>
      </c>
    </row>
    <row r="92" spans="1:11" ht="15.75" x14ac:dyDescent="0.25">
      <c r="A92">
        <v>91</v>
      </c>
      <c r="B92" s="1" t="s">
        <v>191</v>
      </c>
      <c r="C92" s="1" t="s">
        <v>192</v>
      </c>
      <c r="D92">
        <v>16</v>
      </c>
      <c r="E92">
        <v>13</v>
      </c>
      <c r="F92">
        <v>10</v>
      </c>
      <c r="G92">
        <v>13.5</v>
      </c>
      <c r="H92">
        <v>12.5</v>
      </c>
      <c r="I92">
        <v>10.5</v>
      </c>
      <c r="J92">
        <v>12</v>
      </c>
      <c r="K92">
        <f t="shared" ca="1" si="2"/>
        <v>8</v>
      </c>
    </row>
    <row r="93" spans="1:11" ht="15.75" x14ac:dyDescent="0.25">
      <c r="A93">
        <v>92</v>
      </c>
      <c r="B93" s="1" t="s">
        <v>193</v>
      </c>
      <c r="C93" s="1" t="s">
        <v>194</v>
      </c>
      <c r="D93">
        <v>16.5</v>
      </c>
      <c r="E93">
        <v>16</v>
      </c>
      <c r="F93">
        <v>13.5</v>
      </c>
      <c r="G93">
        <v>15</v>
      </c>
      <c r="H93">
        <v>14</v>
      </c>
      <c r="I93">
        <v>14.5</v>
      </c>
      <c r="J93">
        <v>14</v>
      </c>
      <c r="K93">
        <f t="shared" ca="1" si="2"/>
        <v>17</v>
      </c>
    </row>
    <row r="94" spans="1:11" ht="16" x14ac:dyDescent="0.4">
      <c r="A94">
        <v>93</v>
      </c>
      <c r="B94" s="1" t="s">
        <v>195</v>
      </c>
      <c r="C94" s="1" t="s">
        <v>196</v>
      </c>
      <c r="D94">
        <v>15</v>
      </c>
      <c r="E94" s="2" t="s">
        <v>200</v>
      </c>
      <c r="F94">
        <v>13.5</v>
      </c>
      <c r="G94">
        <v>16.5</v>
      </c>
      <c r="H94">
        <v>12.5</v>
      </c>
      <c r="I94" s="2" t="s">
        <v>200</v>
      </c>
      <c r="J94">
        <v>13.5</v>
      </c>
      <c r="K94">
        <f t="shared" ca="1" si="2"/>
        <v>14</v>
      </c>
    </row>
    <row r="95" spans="1:11" ht="16" x14ac:dyDescent="0.4">
      <c r="A95">
        <v>94</v>
      </c>
      <c r="B95" s="1" t="s">
        <v>197</v>
      </c>
      <c r="C95" s="1" t="s">
        <v>198</v>
      </c>
      <c r="D95">
        <v>14.5</v>
      </c>
      <c r="E95">
        <v>14</v>
      </c>
      <c r="F95">
        <v>13.5</v>
      </c>
      <c r="G95">
        <v>15.5</v>
      </c>
      <c r="H95">
        <v>12.5</v>
      </c>
      <c r="I95" s="2" t="s">
        <v>200</v>
      </c>
      <c r="J95">
        <v>13</v>
      </c>
      <c r="K95">
        <f t="shared" ca="1" si="2"/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tabSelected="1" topLeftCell="A71" zoomScale="85" zoomScaleNormal="85" workbookViewId="0">
      <selection activeCell="G17" sqref="G17"/>
    </sheetView>
  </sheetViews>
  <sheetFormatPr defaultRowHeight="14.5" x14ac:dyDescent="0.35"/>
  <cols>
    <col min="1" max="1" width="3.81640625" bestFit="1" customWidth="1"/>
    <col min="2" max="2" width="34.54296875" customWidth="1"/>
    <col min="3" max="3" width="42.7265625" customWidth="1"/>
    <col min="4" max="4" width="17.81640625" bestFit="1" customWidth="1"/>
    <col min="5" max="5" width="22.453125" bestFit="1" customWidth="1"/>
    <col min="6" max="6" width="27.1796875" bestFit="1" customWidth="1"/>
    <col min="7" max="7" width="22.54296875" bestFit="1" customWidth="1"/>
    <col min="8" max="8" width="17.81640625" bestFit="1" customWidth="1"/>
    <col min="9" max="9" width="20.54296875" bestFit="1" customWidth="1"/>
    <col min="10" max="10" width="23.7265625" customWidth="1"/>
    <col min="11" max="11" width="25.81640625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>
        <v>1</v>
      </c>
      <c r="B2" s="1" t="s">
        <v>11</v>
      </c>
      <c r="C2" s="1" t="s">
        <v>12</v>
      </c>
      <c r="D2">
        <v>60</v>
      </c>
      <c r="E2">
        <v>64</v>
      </c>
      <c r="F2">
        <v>56</v>
      </c>
      <c r="G2">
        <v>46</v>
      </c>
      <c r="H2">
        <f>VLOOKUP(B2,'[1]First Year'!$T$419:$AB$513,9,0)</f>
        <v>58</v>
      </c>
      <c r="I2">
        <v>56.5</v>
      </c>
      <c r="J2">
        <v>66</v>
      </c>
      <c r="K2">
        <v>59</v>
      </c>
    </row>
    <row r="3" spans="1:11" ht="15.75" x14ac:dyDescent="0.25">
      <c r="A3">
        <v>2</v>
      </c>
      <c r="B3" s="1" t="s">
        <v>13</v>
      </c>
      <c r="C3" s="1" t="s">
        <v>14</v>
      </c>
      <c r="D3">
        <v>48</v>
      </c>
      <c r="E3">
        <v>57</v>
      </c>
      <c r="F3">
        <v>46</v>
      </c>
      <c r="G3">
        <v>56.5</v>
      </c>
      <c r="H3">
        <f>VLOOKUP(B3,'[1]First Year'!$T$419:$AB$513,9,0)</f>
        <v>56.5</v>
      </c>
      <c r="I3">
        <v>50</v>
      </c>
      <c r="J3">
        <v>46.5</v>
      </c>
      <c r="K3">
        <v>50</v>
      </c>
    </row>
    <row r="4" spans="1:11" ht="15.75" x14ac:dyDescent="0.25">
      <c r="A4">
        <v>3</v>
      </c>
      <c r="B4" s="1" t="s">
        <v>15</v>
      </c>
      <c r="C4" s="1" t="s">
        <v>16</v>
      </c>
      <c r="D4">
        <v>59.5</v>
      </c>
      <c r="E4">
        <v>62</v>
      </c>
      <c r="F4">
        <v>50</v>
      </c>
      <c r="G4">
        <v>52.5</v>
      </c>
      <c r="H4">
        <f>VLOOKUP(B4,'[1]First Year'!$T$419:$AB$513,9,0)</f>
        <v>60</v>
      </c>
      <c r="I4">
        <v>48.5</v>
      </c>
      <c r="J4">
        <v>57</v>
      </c>
      <c r="K4">
        <v>50</v>
      </c>
    </row>
    <row r="5" spans="1:11" ht="15.75" x14ac:dyDescent="0.25">
      <c r="A5">
        <v>4</v>
      </c>
      <c r="B5" s="1" t="s">
        <v>17</v>
      </c>
      <c r="C5" s="1" t="s">
        <v>18</v>
      </c>
      <c r="D5">
        <v>44</v>
      </c>
      <c r="E5">
        <v>55.5</v>
      </c>
      <c r="F5">
        <v>51</v>
      </c>
      <c r="G5">
        <v>57</v>
      </c>
      <c r="H5">
        <f>VLOOKUP(B5,'[1]First Year'!$T$419:$AB$513,9,0)</f>
        <v>55</v>
      </c>
      <c r="I5">
        <v>46.5</v>
      </c>
      <c r="J5">
        <v>57</v>
      </c>
      <c r="K5">
        <v>54</v>
      </c>
    </row>
    <row r="6" spans="1:11" ht="15.75" x14ac:dyDescent="0.25">
      <c r="A6">
        <v>5</v>
      </c>
      <c r="B6" s="1" t="s">
        <v>19</v>
      </c>
      <c r="C6" s="1" t="s">
        <v>20</v>
      </c>
      <c r="D6">
        <v>58.5</v>
      </c>
      <c r="E6">
        <v>50.5</v>
      </c>
      <c r="F6">
        <v>56</v>
      </c>
      <c r="G6">
        <v>39.5</v>
      </c>
      <c r="H6">
        <f>VLOOKUP(B6,'[1]First Year'!$T$419:$AB$513,9,0)</f>
        <v>48</v>
      </c>
      <c r="I6">
        <v>36</v>
      </c>
      <c r="J6">
        <v>54</v>
      </c>
      <c r="K6">
        <v>42</v>
      </c>
    </row>
    <row r="7" spans="1:11" ht="15.75" x14ac:dyDescent="0.25">
      <c r="A7">
        <v>6</v>
      </c>
      <c r="B7" s="1" t="s">
        <v>21</v>
      </c>
      <c r="C7" s="1" t="s">
        <v>22</v>
      </c>
      <c r="D7">
        <v>69.5</v>
      </c>
      <c r="E7">
        <v>59.5</v>
      </c>
      <c r="F7">
        <v>51</v>
      </c>
      <c r="G7">
        <v>48.5</v>
      </c>
      <c r="H7">
        <f>VLOOKUP(B7,'[1]First Year'!$T$419:$AB$513,9,0)</f>
        <v>38</v>
      </c>
      <c r="I7">
        <v>52</v>
      </c>
      <c r="J7">
        <v>56.5</v>
      </c>
      <c r="K7">
        <v>57</v>
      </c>
    </row>
    <row r="8" spans="1:11" ht="15.75" x14ac:dyDescent="0.25">
      <c r="A8">
        <v>7</v>
      </c>
      <c r="B8" s="1" t="s">
        <v>23</v>
      </c>
      <c r="C8" s="1" t="s">
        <v>24</v>
      </c>
      <c r="D8">
        <v>56.5</v>
      </c>
      <c r="E8">
        <v>50</v>
      </c>
      <c r="F8">
        <v>48</v>
      </c>
      <c r="G8">
        <v>55</v>
      </c>
      <c r="H8">
        <f>VLOOKUP(B8,'[1]First Year'!$T$419:$AB$513,9,0)</f>
        <v>49.5</v>
      </c>
      <c r="I8">
        <v>44</v>
      </c>
      <c r="J8">
        <v>52</v>
      </c>
      <c r="K8">
        <v>40</v>
      </c>
    </row>
    <row r="9" spans="1:11" ht="15.75" x14ac:dyDescent="0.25">
      <c r="A9">
        <v>8</v>
      </c>
      <c r="B9" s="1" t="s">
        <v>25</v>
      </c>
      <c r="C9" s="1" t="s">
        <v>26</v>
      </c>
      <c r="D9">
        <v>45</v>
      </c>
      <c r="E9">
        <v>57.5</v>
      </c>
      <c r="F9">
        <v>49</v>
      </c>
      <c r="G9">
        <v>45</v>
      </c>
      <c r="H9">
        <f>VLOOKUP(B9,'[1]First Year'!$T$419:$AB$513,9,0)</f>
        <v>39.5</v>
      </c>
      <c r="I9">
        <v>48</v>
      </c>
      <c r="J9">
        <v>59.5</v>
      </c>
      <c r="K9">
        <v>52</v>
      </c>
    </row>
    <row r="10" spans="1:11" ht="15.75" x14ac:dyDescent="0.25">
      <c r="A10">
        <v>9</v>
      </c>
      <c r="B10" s="1" t="s">
        <v>27</v>
      </c>
      <c r="C10" s="1" t="s">
        <v>28</v>
      </c>
      <c r="D10">
        <v>62.5</v>
      </c>
      <c r="E10">
        <v>61</v>
      </c>
      <c r="F10">
        <v>52</v>
      </c>
      <c r="G10">
        <v>66</v>
      </c>
      <c r="H10">
        <f>VLOOKUP(B10,'[1]First Year'!$T$419:$AB$513,9,0)</f>
        <v>46</v>
      </c>
      <c r="I10">
        <v>52.5</v>
      </c>
      <c r="J10">
        <v>55</v>
      </c>
      <c r="K10">
        <v>66</v>
      </c>
    </row>
    <row r="11" spans="1:11" ht="15.75" x14ac:dyDescent="0.25">
      <c r="A11">
        <v>10</v>
      </c>
      <c r="B11" s="1" t="s">
        <v>29</v>
      </c>
      <c r="C11" s="1" t="s">
        <v>30</v>
      </c>
      <c r="D11">
        <v>45.5</v>
      </c>
      <c r="E11">
        <v>52</v>
      </c>
      <c r="F11">
        <v>55</v>
      </c>
      <c r="G11">
        <v>61</v>
      </c>
      <c r="H11">
        <f>VLOOKUP(B11,'[1]First Year'!$T$419:$AB$513,9,0)</f>
        <v>50</v>
      </c>
      <c r="I11">
        <v>47</v>
      </c>
      <c r="J11">
        <v>52.5</v>
      </c>
      <c r="K11">
        <v>55</v>
      </c>
    </row>
    <row r="12" spans="1:11" ht="15.75" x14ac:dyDescent="0.25">
      <c r="A12">
        <v>11</v>
      </c>
      <c r="B12" s="1" t="s">
        <v>31</v>
      </c>
      <c r="C12" s="1" t="s">
        <v>32</v>
      </c>
      <c r="D12">
        <v>47.5</v>
      </c>
      <c r="E12">
        <v>54.5</v>
      </c>
      <c r="F12">
        <v>42</v>
      </c>
      <c r="G12">
        <v>52</v>
      </c>
      <c r="H12">
        <f>VLOOKUP(B12,'[1]First Year'!$T$419:$AB$513,9,0)</f>
        <v>47.5</v>
      </c>
      <c r="I12">
        <v>42.5</v>
      </c>
      <c r="J12">
        <v>48.5</v>
      </c>
      <c r="K12">
        <v>35</v>
      </c>
    </row>
    <row r="13" spans="1:11" ht="16" x14ac:dyDescent="0.4">
      <c r="A13">
        <v>12</v>
      </c>
      <c r="B13" s="1" t="s">
        <v>33</v>
      </c>
      <c r="C13" s="1" t="s">
        <v>34</v>
      </c>
      <c r="D13">
        <v>35.5</v>
      </c>
      <c r="E13">
        <v>58</v>
      </c>
      <c r="F13">
        <v>49</v>
      </c>
      <c r="G13">
        <v>39.5</v>
      </c>
      <c r="H13">
        <f>VLOOKUP(B13,'[1]First Year'!$T$419:$AB$513,9,0)</f>
        <v>47</v>
      </c>
      <c r="I13" s="2" t="s">
        <v>200</v>
      </c>
      <c r="J13">
        <v>55.5</v>
      </c>
      <c r="K13">
        <v>47</v>
      </c>
    </row>
    <row r="14" spans="1:11" ht="16" x14ac:dyDescent="0.4">
      <c r="A14">
        <v>13</v>
      </c>
      <c r="B14" s="1" t="s">
        <v>35</v>
      </c>
      <c r="C14" s="1" t="s">
        <v>36</v>
      </c>
      <c r="D14">
        <v>47.5</v>
      </c>
      <c r="E14">
        <v>53.5</v>
      </c>
      <c r="F14">
        <v>52</v>
      </c>
      <c r="G14">
        <v>58</v>
      </c>
      <c r="H14">
        <f>VLOOKUP(B14,'[1]First Year'!$T$419:$AB$513,9,0)</f>
        <v>57.5</v>
      </c>
      <c r="I14" s="2" t="s">
        <v>200</v>
      </c>
      <c r="J14">
        <v>61.5</v>
      </c>
      <c r="K14">
        <v>55</v>
      </c>
    </row>
    <row r="15" spans="1:11" ht="15.75" x14ac:dyDescent="0.25">
      <c r="A15">
        <v>14</v>
      </c>
      <c r="B15" s="1" t="s">
        <v>37</v>
      </c>
      <c r="C15" s="1" t="s">
        <v>38</v>
      </c>
      <c r="D15">
        <v>48</v>
      </c>
      <c r="E15">
        <v>46.5</v>
      </c>
      <c r="F15">
        <v>43</v>
      </c>
      <c r="G15">
        <v>58.5</v>
      </c>
      <c r="H15">
        <f>VLOOKUP(B15,'[1]First Year'!$T$419:$AB$513,9,0)</f>
        <v>48</v>
      </c>
      <c r="I15">
        <v>43</v>
      </c>
      <c r="J15">
        <v>41</v>
      </c>
      <c r="K15">
        <v>54</v>
      </c>
    </row>
    <row r="16" spans="1:11" ht="15.75" x14ac:dyDescent="0.25">
      <c r="A16">
        <v>15</v>
      </c>
      <c r="B16" s="1" t="s">
        <v>39</v>
      </c>
      <c r="C16" s="1" t="s">
        <v>40</v>
      </c>
      <c r="D16">
        <v>47</v>
      </c>
      <c r="E16">
        <v>52.5</v>
      </c>
      <c r="F16">
        <v>48</v>
      </c>
      <c r="G16">
        <v>51</v>
      </c>
      <c r="H16">
        <f>VLOOKUP(B16,'[1]First Year'!$T$419:$AB$513,9,0)</f>
        <v>49.5</v>
      </c>
      <c r="I16">
        <v>47</v>
      </c>
      <c r="J16">
        <v>51.5</v>
      </c>
      <c r="K16">
        <v>55</v>
      </c>
    </row>
    <row r="17" spans="1:11" ht="15.75" x14ac:dyDescent="0.25">
      <c r="A17">
        <v>16</v>
      </c>
      <c r="B17" s="1" t="s">
        <v>41</v>
      </c>
      <c r="C17" s="1" t="s">
        <v>42</v>
      </c>
      <c r="D17">
        <v>55</v>
      </c>
      <c r="E17">
        <v>50.5</v>
      </c>
      <c r="F17">
        <v>49</v>
      </c>
      <c r="G17">
        <v>56</v>
      </c>
      <c r="H17">
        <f>VLOOKUP(B17,'[1]First Year'!$T$419:$AB$513,9,0)</f>
        <v>57.5</v>
      </c>
      <c r="I17">
        <v>54</v>
      </c>
      <c r="J17">
        <v>51</v>
      </c>
      <c r="K17">
        <v>51</v>
      </c>
    </row>
    <row r="18" spans="1:11" ht="15.75" x14ac:dyDescent="0.25">
      <c r="A18">
        <v>17</v>
      </c>
      <c r="B18" s="1" t="s">
        <v>43</v>
      </c>
      <c r="C18" s="1" t="s">
        <v>44</v>
      </c>
      <c r="D18">
        <v>51</v>
      </c>
      <c r="E18">
        <v>57.5</v>
      </c>
      <c r="F18">
        <v>44</v>
      </c>
      <c r="G18">
        <v>58</v>
      </c>
      <c r="H18">
        <f>VLOOKUP(B18,'[1]First Year'!$T$419:$AB$513,9,0)</f>
        <v>40</v>
      </c>
      <c r="I18">
        <v>41.5</v>
      </c>
      <c r="J18">
        <v>48.5</v>
      </c>
      <c r="K18">
        <v>48</v>
      </c>
    </row>
    <row r="19" spans="1:11" ht="15.75" x14ac:dyDescent="0.25">
      <c r="A19">
        <v>18</v>
      </c>
      <c r="B19" s="1" t="s">
        <v>45</v>
      </c>
      <c r="C19" s="1" t="s">
        <v>46</v>
      </c>
      <c r="D19">
        <v>45.5</v>
      </c>
      <c r="E19">
        <v>56</v>
      </c>
      <c r="F19">
        <v>49</v>
      </c>
      <c r="G19">
        <v>53</v>
      </c>
      <c r="H19">
        <f>VLOOKUP(B19,'[1]First Year'!$T$419:$AB$513,9,0)</f>
        <v>54.5</v>
      </c>
      <c r="I19">
        <v>46.5</v>
      </c>
      <c r="J19">
        <v>51.5</v>
      </c>
      <c r="K19">
        <v>48</v>
      </c>
    </row>
    <row r="20" spans="1:11" ht="15.75" x14ac:dyDescent="0.25">
      <c r="A20">
        <v>19</v>
      </c>
      <c r="B20" s="1" t="s">
        <v>47</v>
      </c>
      <c r="C20" s="1" t="s">
        <v>48</v>
      </c>
      <c r="D20">
        <v>48</v>
      </c>
      <c r="E20">
        <v>58</v>
      </c>
      <c r="F20">
        <v>45</v>
      </c>
      <c r="G20">
        <v>54.5</v>
      </c>
      <c r="H20">
        <f>VLOOKUP(B20,'[1]First Year'!$T$419:$AB$513,9,0)</f>
        <v>58.5</v>
      </c>
      <c r="I20">
        <v>42</v>
      </c>
      <c r="J20">
        <v>53</v>
      </c>
      <c r="K20">
        <v>41</v>
      </c>
    </row>
    <row r="21" spans="1:11" ht="16" x14ac:dyDescent="0.4">
      <c r="A21">
        <v>20</v>
      </c>
      <c r="B21" s="1" t="s">
        <v>49</v>
      </c>
      <c r="C21" s="1" t="s">
        <v>50</v>
      </c>
      <c r="D21">
        <v>39.5</v>
      </c>
      <c r="E21">
        <v>52</v>
      </c>
      <c r="F21">
        <v>43</v>
      </c>
      <c r="G21">
        <v>53</v>
      </c>
      <c r="H21">
        <f>VLOOKUP(B21,'[1]First Year'!$T$419:$AB$513,9,0)</f>
        <v>40.5</v>
      </c>
      <c r="I21" s="2" t="s">
        <v>200</v>
      </c>
      <c r="J21">
        <v>55.5</v>
      </c>
      <c r="K21">
        <v>46</v>
      </c>
    </row>
    <row r="22" spans="1:11" ht="15.75" x14ac:dyDescent="0.25">
      <c r="A22">
        <v>21</v>
      </c>
      <c r="B22" s="1" t="s">
        <v>51</v>
      </c>
      <c r="C22" s="1" t="s">
        <v>52</v>
      </c>
      <c r="D22">
        <v>44</v>
      </c>
      <c r="E22">
        <v>61</v>
      </c>
      <c r="F22">
        <v>47</v>
      </c>
      <c r="G22">
        <v>61.5</v>
      </c>
      <c r="H22">
        <f>VLOOKUP(B22,'[1]First Year'!$T$419:$AB$513,9,0)</f>
        <v>59.5</v>
      </c>
      <c r="I22">
        <v>50</v>
      </c>
      <c r="J22">
        <v>47.5</v>
      </c>
      <c r="K22">
        <v>44</v>
      </c>
    </row>
    <row r="23" spans="1:11" ht="15.75" x14ac:dyDescent="0.25">
      <c r="A23">
        <v>22</v>
      </c>
      <c r="B23" s="1" t="s">
        <v>53</v>
      </c>
      <c r="C23" s="1" t="s">
        <v>54</v>
      </c>
      <c r="D23">
        <v>54</v>
      </c>
      <c r="E23">
        <v>48.5</v>
      </c>
      <c r="F23">
        <v>45</v>
      </c>
      <c r="G23">
        <v>60</v>
      </c>
      <c r="H23">
        <f>VLOOKUP(B23,'[1]First Year'!$T$419:$AB$513,9,0)</f>
        <v>55</v>
      </c>
      <c r="I23">
        <v>43</v>
      </c>
      <c r="J23">
        <v>57.5</v>
      </c>
      <c r="K23">
        <v>49</v>
      </c>
    </row>
    <row r="24" spans="1:11" ht="15.75" x14ac:dyDescent="0.25">
      <c r="A24">
        <v>23</v>
      </c>
      <c r="B24" s="1" t="s">
        <v>55</v>
      </c>
      <c r="C24" s="1" t="s">
        <v>56</v>
      </c>
      <c r="D24">
        <v>51</v>
      </c>
      <c r="E24">
        <v>53.5</v>
      </c>
      <c r="F24">
        <v>36</v>
      </c>
      <c r="G24">
        <v>45.5</v>
      </c>
      <c r="H24">
        <f>VLOOKUP(B24,'[1]First Year'!$T$419:$AB$513,9,0)</f>
        <v>52.5</v>
      </c>
      <c r="I24">
        <v>40</v>
      </c>
      <c r="J24">
        <v>49.5</v>
      </c>
      <c r="K24">
        <v>51</v>
      </c>
    </row>
    <row r="25" spans="1:11" ht="15.75" x14ac:dyDescent="0.25">
      <c r="A25">
        <v>24</v>
      </c>
      <c r="B25" s="1" t="s">
        <v>57</v>
      </c>
      <c r="C25" s="1" t="s">
        <v>58</v>
      </c>
      <c r="D25">
        <v>58</v>
      </c>
      <c r="E25">
        <v>54</v>
      </c>
      <c r="F25">
        <v>50</v>
      </c>
      <c r="G25">
        <v>47</v>
      </c>
      <c r="H25">
        <f>VLOOKUP(B25,'[1]First Year'!$T$419:$AB$513,9,0)</f>
        <v>59.5</v>
      </c>
      <c r="I25">
        <v>50.5</v>
      </c>
      <c r="J25">
        <v>58</v>
      </c>
      <c r="K25">
        <v>58</v>
      </c>
    </row>
    <row r="26" spans="1:11" ht="16" x14ac:dyDescent="0.4">
      <c r="A26">
        <v>25</v>
      </c>
      <c r="B26" s="1" t="s">
        <v>59</v>
      </c>
      <c r="C26" s="1" t="s">
        <v>60</v>
      </c>
      <c r="D26">
        <v>40.5</v>
      </c>
      <c r="E26">
        <v>46</v>
      </c>
      <c r="F26">
        <v>48</v>
      </c>
      <c r="G26">
        <v>48</v>
      </c>
      <c r="H26">
        <f>VLOOKUP(B26,'[1]First Year'!$T$419:$AB$513,9,0)</f>
        <v>51</v>
      </c>
      <c r="I26" s="2" t="s">
        <v>200</v>
      </c>
      <c r="J26">
        <v>41</v>
      </c>
      <c r="K26">
        <v>43</v>
      </c>
    </row>
    <row r="27" spans="1:11" ht="15.75" x14ac:dyDescent="0.25">
      <c r="A27">
        <v>26</v>
      </c>
      <c r="B27" s="1" t="s">
        <v>61</v>
      </c>
      <c r="C27" s="1" t="s">
        <v>62</v>
      </c>
      <c r="D27">
        <v>49</v>
      </c>
      <c r="E27">
        <v>52</v>
      </c>
      <c r="F27">
        <v>46</v>
      </c>
      <c r="G27">
        <v>53</v>
      </c>
      <c r="H27">
        <f>VLOOKUP(B27,'[1]First Year'!$T$419:$AB$513,9,0)</f>
        <v>54.5</v>
      </c>
      <c r="I27">
        <v>36.5</v>
      </c>
      <c r="J27">
        <v>48.5</v>
      </c>
      <c r="K27">
        <v>49</v>
      </c>
    </row>
    <row r="28" spans="1:11" ht="15.75" x14ac:dyDescent="0.25">
      <c r="A28">
        <v>27</v>
      </c>
      <c r="B28" s="1" t="s">
        <v>63</v>
      </c>
      <c r="C28" s="1" t="s">
        <v>64</v>
      </c>
      <c r="D28">
        <v>53</v>
      </c>
      <c r="E28">
        <v>64.5</v>
      </c>
      <c r="F28">
        <v>50</v>
      </c>
      <c r="G28">
        <v>50.5</v>
      </c>
      <c r="H28">
        <f>VLOOKUP(B28,'[1]First Year'!$T$419:$AB$513,9,0)</f>
        <v>62</v>
      </c>
      <c r="I28">
        <v>47.5</v>
      </c>
      <c r="J28">
        <v>61.5</v>
      </c>
      <c r="K28">
        <v>50</v>
      </c>
    </row>
    <row r="29" spans="1:11" ht="15.75" x14ac:dyDescent="0.25">
      <c r="A29">
        <v>28</v>
      </c>
      <c r="B29" s="1" t="s">
        <v>65</v>
      </c>
      <c r="C29" s="1" t="s">
        <v>66</v>
      </c>
      <c r="D29">
        <v>64.5</v>
      </c>
      <c r="E29">
        <v>64.5</v>
      </c>
      <c r="F29">
        <v>53</v>
      </c>
      <c r="G29">
        <v>46.5</v>
      </c>
      <c r="H29">
        <f>VLOOKUP(B29,'[1]First Year'!$T$419:$AB$513,9,0)</f>
        <v>58.5</v>
      </c>
      <c r="I29">
        <v>59</v>
      </c>
      <c r="J29">
        <v>56</v>
      </c>
      <c r="K29">
        <v>54</v>
      </c>
    </row>
    <row r="30" spans="1:11" ht="15.75" x14ac:dyDescent="0.25">
      <c r="A30">
        <v>29</v>
      </c>
      <c r="B30" s="1" t="s">
        <v>67</v>
      </c>
      <c r="C30" s="1" t="s">
        <v>68</v>
      </c>
      <c r="D30">
        <v>46</v>
      </c>
      <c r="E30">
        <v>54</v>
      </c>
      <c r="F30">
        <v>42</v>
      </c>
      <c r="G30">
        <v>60.5</v>
      </c>
      <c r="H30">
        <f>VLOOKUP(B30,'[1]First Year'!$T$419:$AB$513,9,0)</f>
        <v>50.5</v>
      </c>
      <c r="I30">
        <v>48.5</v>
      </c>
      <c r="J30">
        <v>57</v>
      </c>
      <c r="K30">
        <v>63</v>
      </c>
    </row>
    <row r="31" spans="1:11" ht="15.75" x14ac:dyDescent="0.25">
      <c r="A31">
        <v>30</v>
      </c>
      <c r="B31" s="1" t="s">
        <v>69</v>
      </c>
      <c r="C31" s="1" t="s">
        <v>70</v>
      </c>
      <c r="D31">
        <v>48</v>
      </c>
      <c r="E31">
        <v>55.5</v>
      </c>
      <c r="F31">
        <v>41</v>
      </c>
      <c r="G31">
        <v>52.5</v>
      </c>
      <c r="H31">
        <f>VLOOKUP(B31,'[1]First Year'!$T$419:$AB$513,9,0)</f>
        <v>51</v>
      </c>
      <c r="I31">
        <v>39.5</v>
      </c>
      <c r="J31">
        <v>56</v>
      </c>
      <c r="K31">
        <v>48</v>
      </c>
    </row>
    <row r="32" spans="1:11" ht="16" x14ac:dyDescent="0.4">
      <c r="A32">
        <v>31</v>
      </c>
      <c r="B32" s="1" t="s">
        <v>71</v>
      </c>
      <c r="C32" s="1" t="s">
        <v>72</v>
      </c>
      <c r="D32" s="2" t="s">
        <v>200</v>
      </c>
      <c r="E32">
        <v>55</v>
      </c>
      <c r="F32">
        <v>51</v>
      </c>
      <c r="G32">
        <v>51.5</v>
      </c>
      <c r="H32">
        <f>VLOOKUP(B32,'[1]First Year'!$T$419:$AB$513,9,0)</f>
        <v>48</v>
      </c>
      <c r="I32">
        <v>43.5</v>
      </c>
      <c r="J32">
        <v>50</v>
      </c>
      <c r="K32">
        <v>40</v>
      </c>
    </row>
    <row r="33" spans="1:11" ht="16" x14ac:dyDescent="0.4">
      <c r="A33">
        <v>32</v>
      </c>
      <c r="B33" s="1" t="s">
        <v>73</v>
      </c>
      <c r="C33" s="1" t="s">
        <v>74</v>
      </c>
      <c r="D33">
        <v>53</v>
      </c>
      <c r="E33">
        <v>60</v>
      </c>
      <c r="F33">
        <v>49</v>
      </c>
      <c r="G33">
        <v>46.5</v>
      </c>
      <c r="H33">
        <f>VLOOKUP(B33,'[1]First Year'!$T$419:$AB$513,9,0)</f>
        <v>60</v>
      </c>
      <c r="I33" s="2" t="s">
        <v>200</v>
      </c>
      <c r="J33">
        <v>55</v>
      </c>
      <c r="K33">
        <v>48</v>
      </c>
    </row>
    <row r="34" spans="1:11" ht="16" x14ac:dyDescent="0.4">
      <c r="A34">
        <v>33</v>
      </c>
      <c r="B34" s="1" t="s">
        <v>75</v>
      </c>
      <c r="C34" s="1" t="s">
        <v>76</v>
      </c>
      <c r="D34">
        <v>56.5</v>
      </c>
      <c r="E34">
        <v>59.5</v>
      </c>
      <c r="F34">
        <v>43</v>
      </c>
      <c r="G34">
        <v>57.5</v>
      </c>
      <c r="H34">
        <f>VLOOKUP(B34,'[1]First Year'!$T$419:$AB$513,9,0)</f>
        <v>48.5</v>
      </c>
      <c r="I34">
        <v>52.5</v>
      </c>
      <c r="J34">
        <v>51.5</v>
      </c>
      <c r="K34">
        <v>51</v>
      </c>
    </row>
    <row r="35" spans="1:11" ht="16" x14ac:dyDescent="0.4">
      <c r="A35">
        <v>34</v>
      </c>
      <c r="B35" s="1" t="s">
        <v>77</v>
      </c>
      <c r="C35" s="1" t="s">
        <v>78</v>
      </c>
      <c r="D35">
        <v>49.5</v>
      </c>
      <c r="E35">
        <v>53</v>
      </c>
      <c r="F35">
        <v>41</v>
      </c>
      <c r="G35">
        <v>57.5</v>
      </c>
      <c r="H35">
        <f>VLOOKUP(B35,'[1]First Year'!$T$419:$AB$513,9,0)</f>
        <v>54.5</v>
      </c>
      <c r="I35">
        <v>44.5</v>
      </c>
      <c r="J35">
        <v>54</v>
      </c>
      <c r="K35">
        <v>47</v>
      </c>
    </row>
    <row r="36" spans="1:11" ht="16" x14ac:dyDescent="0.4">
      <c r="A36">
        <v>35</v>
      </c>
      <c r="B36" s="1" t="s">
        <v>79</v>
      </c>
      <c r="C36" s="1" t="s">
        <v>80</v>
      </c>
      <c r="D36">
        <v>56</v>
      </c>
      <c r="E36">
        <v>55</v>
      </c>
      <c r="F36">
        <v>45</v>
      </c>
      <c r="G36">
        <v>59</v>
      </c>
      <c r="H36">
        <f>VLOOKUP(B36,'[1]First Year'!$T$419:$AB$513,9,0)</f>
        <v>48.5</v>
      </c>
      <c r="I36">
        <v>51.5</v>
      </c>
      <c r="J36">
        <v>51.5</v>
      </c>
      <c r="K36">
        <v>60</v>
      </c>
    </row>
    <row r="37" spans="1:11" ht="16" x14ac:dyDescent="0.4">
      <c r="A37">
        <v>36</v>
      </c>
      <c r="B37" s="1" t="s">
        <v>81</v>
      </c>
      <c r="C37" s="1" t="s">
        <v>82</v>
      </c>
      <c r="D37">
        <v>50.5</v>
      </c>
      <c r="E37">
        <v>59.5</v>
      </c>
      <c r="F37">
        <v>40</v>
      </c>
      <c r="G37">
        <v>53.5</v>
      </c>
      <c r="H37">
        <f>VLOOKUP(B37,'[1]First Year'!$T$419:$AB$513,9,0)</f>
        <v>52.5</v>
      </c>
      <c r="I37">
        <v>49</v>
      </c>
      <c r="J37">
        <v>56.5</v>
      </c>
      <c r="K37">
        <v>49</v>
      </c>
    </row>
    <row r="38" spans="1:11" ht="16" x14ac:dyDescent="0.4">
      <c r="A38">
        <v>37</v>
      </c>
      <c r="B38" s="1" t="s">
        <v>83</v>
      </c>
      <c r="C38" s="1" t="s">
        <v>84</v>
      </c>
      <c r="D38">
        <v>51.5</v>
      </c>
      <c r="E38">
        <v>57</v>
      </c>
      <c r="F38">
        <v>37</v>
      </c>
      <c r="G38">
        <v>50</v>
      </c>
      <c r="H38">
        <f>VLOOKUP(B38,'[1]First Year'!$T$419:$AB$513,9,0)</f>
        <v>54.5</v>
      </c>
      <c r="I38">
        <v>41</v>
      </c>
      <c r="J38">
        <v>53.5</v>
      </c>
      <c r="K38">
        <v>55</v>
      </c>
    </row>
    <row r="39" spans="1:11" ht="16" x14ac:dyDescent="0.4">
      <c r="A39">
        <v>38</v>
      </c>
      <c r="B39" s="1" t="s">
        <v>85</v>
      </c>
      <c r="C39" s="1" t="s">
        <v>86</v>
      </c>
      <c r="D39">
        <v>47</v>
      </c>
      <c r="E39">
        <v>60</v>
      </c>
      <c r="F39">
        <v>44</v>
      </c>
      <c r="G39">
        <v>61.5</v>
      </c>
      <c r="H39">
        <f>VLOOKUP(B39,'[1]First Year'!$T$419:$AB$513,9,0)</f>
        <v>45</v>
      </c>
      <c r="I39" s="2" t="s">
        <v>200</v>
      </c>
      <c r="J39">
        <v>57</v>
      </c>
      <c r="K39">
        <v>49</v>
      </c>
    </row>
    <row r="40" spans="1:11" ht="16" x14ac:dyDescent="0.4">
      <c r="A40">
        <v>39</v>
      </c>
      <c r="B40" s="1" t="s">
        <v>87</v>
      </c>
      <c r="C40" s="1" t="s">
        <v>88</v>
      </c>
      <c r="D40">
        <v>36</v>
      </c>
      <c r="E40">
        <v>48.5</v>
      </c>
      <c r="F40">
        <v>43</v>
      </c>
      <c r="G40">
        <v>56</v>
      </c>
      <c r="H40">
        <f>VLOOKUP(B40,'[1]First Year'!$T$419:$AB$513,9,0)</f>
        <v>42.5</v>
      </c>
      <c r="I40" s="2" t="s">
        <v>200</v>
      </c>
      <c r="J40">
        <v>45.5</v>
      </c>
      <c r="K40">
        <v>49</v>
      </c>
    </row>
    <row r="41" spans="1:11" ht="16" x14ac:dyDescent="0.4">
      <c r="A41">
        <v>40</v>
      </c>
      <c r="B41" s="1" t="s">
        <v>89</v>
      </c>
      <c r="C41" s="1" t="s">
        <v>90</v>
      </c>
      <c r="D41">
        <v>46.5</v>
      </c>
      <c r="E41">
        <v>63</v>
      </c>
      <c r="F41">
        <v>52</v>
      </c>
      <c r="G41">
        <v>65</v>
      </c>
      <c r="H41">
        <f>VLOOKUP(B41,'[1]First Year'!$T$419:$AB$513,9,0)</f>
        <v>61.5</v>
      </c>
      <c r="I41">
        <v>52.5</v>
      </c>
      <c r="J41">
        <v>63</v>
      </c>
      <c r="K41">
        <v>68</v>
      </c>
    </row>
    <row r="42" spans="1:11" ht="16" x14ac:dyDescent="0.4">
      <c r="A42">
        <v>41</v>
      </c>
      <c r="B42" s="1" t="s">
        <v>91</v>
      </c>
      <c r="C42" s="1" t="s">
        <v>92</v>
      </c>
      <c r="D42">
        <v>55.5</v>
      </c>
      <c r="E42">
        <v>58.5</v>
      </c>
      <c r="F42">
        <v>44</v>
      </c>
      <c r="G42">
        <v>49</v>
      </c>
      <c r="H42">
        <f>VLOOKUP(B42,'[1]First Year'!$T$419:$AB$513,9,0)</f>
        <v>52</v>
      </c>
      <c r="I42">
        <v>44.5</v>
      </c>
      <c r="J42">
        <v>56.5</v>
      </c>
      <c r="K42">
        <v>62</v>
      </c>
    </row>
    <row r="43" spans="1:11" ht="16" x14ac:dyDescent="0.4">
      <c r="A43">
        <v>42</v>
      </c>
      <c r="B43" s="1" t="s">
        <v>93</v>
      </c>
      <c r="C43" s="1" t="s">
        <v>94</v>
      </c>
      <c r="D43">
        <v>56</v>
      </c>
      <c r="E43">
        <v>59.5</v>
      </c>
      <c r="F43">
        <v>49</v>
      </c>
      <c r="G43">
        <v>51.5</v>
      </c>
      <c r="H43">
        <f>VLOOKUP(B43,'[1]First Year'!$T$419:$AB$513,9,0)</f>
        <v>59</v>
      </c>
      <c r="I43">
        <v>51.5</v>
      </c>
      <c r="J43">
        <v>65</v>
      </c>
      <c r="K43">
        <v>60</v>
      </c>
    </row>
    <row r="44" spans="1:11" ht="16" x14ac:dyDescent="0.4">
      <c r="A44">
        <v>43</v>
      </c>
      <c r="B44" s="1" t="s">
        <v>95</v>
      </c>
      <c r="C44" s="1" t="s">
        <v>96</v>
      </c>
      <c r="D44">
        <v>65</v>
      </c>
      <c r="E44">
        <v>66</v>
      </c>
      <c r="F44">
        <v>49</v>
      </c>
      <c r="G44">
        <v>51</v>
      </c>
      <c r="H44">
        <f>VLOOKUP(B44,'[1]First Year'!$T$419:$AB$513,9,0)</f>
        <v>49.5</v>
      </c>
      <c r="I44">
        <v>57.5</v>
      </c>
      <c r="J44">
        <v>64</v>
      </c>
      <c r="K44">
        <v>67</v>
      </c>
    </row>
    <row r="45" spans="1:11" ht="16" x14ac:dyDescent="0.4">
      <c r="A45">
        <v>44</v>
      </c>
      <c r="B45" s="1" t="s">
        <v>97</v>
      </c>
      <c r="C45" s="1" t="s">
        <v>98</v>
      </c>
      <c r="D45">
        <v>45.5</v>
      </c>
      <c r="E45">
        <v>55.5</v>
      </c>
      <c r="F45" s="2" t="s">
        <v>200</v>
      </c>
      <c r="G45">
        <v>54</v>
      </c>
      <c r="H45">
        <f>VLOOKUP(B45,'[1]First Year'!$T$419:$AB$513,9,0)</f>
        <v>45.5</v>
      </c>
      <c r="I45">
        <v>42.5</v>
      </c>
      <c r="J45">
        <v>51</v>
      </c>
      <c r="K45">
        <v>50</v>
      </c>
    </row>
    <row r="46" spans="1:11" ht="16" x14ac:dyDescent="0.4">
      <c r="A46">
        <v>45</v>
      </c>
      <c r="B46" s="1" t="s">
        <v>99</v>
      </c>
      <c r="C46" s="1" t="s">
        <v>100</v>
      </c>
      <c r="D46">
        <v>48.5</v>
      </c>
      <c r="E46">
        <v>54</v>
      </c>
      <c r="F46">
        <v>51</v>
      </c>
      <c r="G46">
        <v>47.5</v>
      </c>
      <c r="H46">
        <f>VLOOKUP(B46,'[1]First Year'!$T$419:$AB$513,9,0)</f>
        <v>53.5</v>
      </c>
      <c r="I46">
        <v>49</v>
      </c>
      <c r="J46">
        <v>59.5</v>
      </c>
      <c r="K46">
        <v>55</v>
      </c>
    </row>
    <row r="47" spans="1:11" ht="16" x14ac:dyDescent="0.4">
      <c r="A47">
        <v>46</v>
      </c>
      <c r="B47" s="1" t="s">
        <v>101</v>
      </c>
      <c r="C47" s="1" t="s">
        <v>102</v>
      </c>
      <c r="D47">
        <v>45.5</v>
      </c>
      <c r="E47">
        <v>52.5</v>
      </c>
      <c r="F47">
        <v>46</v>
      </c>
      <c r="G47">
        <v>53.5</v>
      </c>
      <c r="H47">
        <f>VLOOKUP(B47,'[1]First Year'!$T$419:$AB$513,9,0)</f>
        <v>43.5</v>
      </c>
      <c r="I47">
        <v>47.5</v>
      </c>
      <c r="J47">
        <v>44</v>
      </c>
      <c r="K47">
        <v>30</v>
      </c>
    </row>
    <row r="48" spans="1:11" ht="16" x14ac:dyDescent="0.4">
      <c r="A48">
        <v>47</v>
      </c>
      <c r="B48" s="1" t="s">
        <v>103</v>
      </c>
      <c r="C48" s="1" t="s">
        <v>104</v>
      </c>
      <c r="D48">
        <v>53.5</v>
      </c>
      <c r="E48">
        <v>57.5</v>
      </c>
      <c r="F48">
        <v>46</v>
      </c>
      <c r="G48">
        <v>54</v>
      </c>
      <c r="H48">
        <f>VLOOKUP(B48,'[1]First Year'!$T$419:$AB$513,9,0)</f>
        <v>48</v>
      </c>
      <c r="I48">
        <v>42</v>
      </c>
      <c r="J48">
        <v>49.5</v>
      </c>
      <c r="K48">
        <v>44</v>
      </c>
    </row>
    <row r="49" spans="1:11" ht="16" x14ac:dyDescent="0.4">
      <c r="A49">
        <v>48</v>
      </c>
      <c r="B49" s="1" t="s">
        <v>105</v>
      </c>
      <c r="C49" s="1" t="s">
        <v>106</v>
      </c>
      <c r="D49">
        <v>55</v>
      </c>
      <c r="E49">
        <v>54</v>
      </c>
      <c r="F49">
        <v>50</v>
      </c>
      <c r="G49">
        <v>53.5</v>
      </c>
      <c r="H49">
        <f>VLOOKUP(B49,'[1]First Year'!$T$419:$AB$513,9,0)</f>
        <v>54.5</v>
      </c>
      <c r="I49">
        <v>58</v>
      </c>
      <c r="J49">
        <v>60</v>
      </c>
      <c r="K49">
        <v>52</v>
      </c>
    </row>
    <row r="50" spans="1:11" ht="16" x14ac:dyDescent="0.4">
      <c r="A50">
        <v>49</v>
      </c>
      <c r="B50" s="1" t="s">
        <v>107</v>
      </c>
      <c r="C50" s="1" t="s">
        <v>108</v>
      </c>
      <c r="D50">
        <v>62</v>
      </c>
      <c r="E50">
        <v>58</v>
      </c>
      <c r="F50">
        <v>48</v>
      </c>
      <c r="G50">
        <v>50.5</v>
      </c>
      <c r="H50">
        <f>VLOOKUP(B50,'[1]First Year'!$T$419:$AB$513,9,0)</f>
        <v>51.5</v>
      </c>
      <c r="I50">
        <v>48</v>
      </c>
      <c r="J50">
        <v>57.5</v>
      </c>
      <c r="K50">
        <v>51</v>
      </c>
    </row>
    <row r="51" spans="1:11" ht="16" x14ac:dyDescent="0.4">
      <c r="A51">
        <v>50</v>
      </c>
      <c r="B51" s="1" t="s">
        <v>109</v>
      </c>
      <c r="C51" s="1" t="s">
        <v>110</v>
      </c>
      <c r="D51">
        <v>45.5</v>
      </c>
      <c r="E51">
        <v>55.5</v>
      </c>
      <c r="F51">
        <v>38</v>
      </c>
      <c r="G51">
        <v>47.5</v>
      </c>
      <c r="H51">
        <f>VLOOKUP(B51,'[1]First Year'!$T$419:$AB$513,9,0)</f>
        <v>49</v>
      </c>
      <c r="I51" s="2" t="s">
        <v>200</v>
      </c>
      <c r="J51">
        <v>56.5</v>
      </c>
      <c r="K51">
        <v>45</v>
      </c>
    </row>
    <row r="52" spans="1:11" ht="16" x14ac:dyDescent="0.4">
      <c r="A52">
        <v>51</v>
      </c>
      <c r="B52" s="1" t="s">
        <v>111</v>
      </c>
      <c r="C52" s="1" t="s">
        <v>112</v>
      </c>
      <c r="D52">
        <v>60.5</v>
      </c>
      <c r="E52">
        <v>64.5</v>
      </c>
      <c r="F52">
        <v>50</v>
      </c>
      <c r="G52">
        <v>44.5</v>
      </c>
      <c r="H52">
        <f>VLOOKUP(B52,'[1]First Year'!$T$419:$AB$513,9,0)</f>
        <v>55.5</v>
      </c>
      <c r="I52">
        <v>60</v>
      </c>
      <c r="J52">
        <v>62</v>
      </c>
      <c r="K52">
        <v>60</v>
      </c>
    </row>
    <row r="53" spans="1:11" ht="16" x14ac:dyDescent="0.4">
      <c r="A53">
        <v>52</v>
      </c>
      <c r="B53" s="1" t="s">
        <v>113</v>
      </c>
      <c r="C53" s="1" t="s">
        <v>114</v>
      </c>
      <c r="D53">
        <v>61.5</v>
      </c>
      <c r="E53">
        <v>63.5</v>
      </c>
      <c r="F53">
        <v>51</v>
      </c>
      <c r="G53">
        <v>57</v>
      </c>
      <c r="H53">
        <f>VLOOKUP(B53,'[1]First Year'!$T$419:$AB$513,9,0)</f>
        <v>56.5</v>
      </c>
      <c r="I53">
        <v>49</v>
      </c>
      <c r="J53">
        <v>51</v>
      </c>
      <c r="K53">
        <v>52</v>
      </c>
    </row>
    <row r="54" spans="1:11" ht="16" x14ac:dyDescent="0.4">
      <c r="A54">
        <v>53</v>
      </c>
      <c r="B54" s="1" t="s">
        <v>115</v>
      </c>
      <c r="C54" s="1" t="s">
        <v>116</v>
      </c>
      <c r="D54">
        <v>52</v>
      </c>
      <c r="E54">
        <v>61.5</v>
      </c>
      <c r="F54">
        <v>46</v>
      </c>
      <c r="G54">
        <v>54</v>
      </c>
      <c r="H54">
        <f>VLOOKUP(B54,'[1]First Year'!$T$419:$AB$513,9,0)</f>
        <v>46</v>
      </c>
      <c r="I54">
        <v>54</v>
      </c>
      <c r="J54">
        <v>64</v>
      </c>
      <c r="K54">
        <v>51</v>
      </c>
    </row>
    <row r="55" spans="1:11" ht="16" x14ac:dyDescent="0.4">
      <c r="A55">
        <v>54</v>
      </c>
      <c r="B55" s="1" t="s">
        <v>117</v>
      </c>
      <c r="C55" s="1" t="s">
        <v>118</v>
      </c>
      <c r="D55">
        <v>32.5</v>
      </c>
      <c r="E55">
        <v>50</v>
      </c>
      <c r="F55">
        <v>46</v>
      </c>
      <c r="G55">
        <v>40</v>
      </c>
      <c r="H55">
        <f>VLOOKUP(B55,'[1]First Year'!$T$419:$AB$513,9,0)</f>
        <v>41.5</v>
      </c>
      <c r="I55">
        <v>45.5</v>
      </c>
      <c r="J55">
        <v>53.5</v>
      </c>
      <c r="K55">
        <v>53</v>
      </c>
    </row>
    <row r="56" spans="1:11" ht="16" x14ac:dyDescent="0.4">
      <c r="A56">
        <v>55</v>
      </c>
      <c r="B56" s="1" t="s">
        <v>119</v>
      </c>
      <c r="C56" s="1" t="s">
        <v>120</v>
      </c>
      <c r="D56">
        <v>41</v>
      </c>
      <c r="E56">
        <v>54</v>
      </c>
      <c r="F56">
        <v>44</v>
      </c>
      <c r="G56">
        <v>59.5</v>
      </c>
      <c r="H56">
        <f>VLOOKUP(B56,'[1]First Year'!$T$419:$AB$513,9,0)</f>
        <v>57.5</v>
      </c>
      <c r="I56">
        <v>44</v>
      </c>
      <c r="J56">
        <v>56</v>
      </c>
      <c r="K56">
        <v>53</v>
      </c>
    </row>
    <row r="57" spans="1:11" ht="16" x14ac:dyDescent="0.4">
      <c r="A57">
        <v>56</v>
      </c>
      <c r="B57" s="1" t="s">
        <v>121</v>
      </c>
      <c r="C57" s="1" t="s">
        <v>122</v>
      </c>
      <c r="D57">
        <v>31.5</v>
      </c>
      <c r="E57">
        <v>51.5</v>
      </c>
      <c r="F57">
        <v>47</v>
      </c>
      <c r="G57">
        <v>38</v>
      </c>
      <c r="H57">
        <f>VLOOKUP(B57,'[1]First Year'!$T$419:$AB$513,9,0)</f>
        <v>53.5</v>
      </c>
      <c r="I57">
        <v>38</v>
      </c>
      <c r="J57">
        <v>33.5</v>
      </c>
      <c r="K57">
        <v>47</v>
      </c>
    </row>
    <row r="58" spans="1:11" ht="16" x14ac:dyDescent="0.4">
      <c r="A58">
        <v>57</v>
      </c>
      <c r="B58" s="1" t="s">
        <v>123</v>
      </c>
      <c r="C58" s="1" t="s">
        <v>124</v>
      </c>
      <c r="D58">
        <v>38</v>
      </c>
      <c r="E58">
        <v>47.5</v>
      </c>
      <c r="F58">
        <v>46</v>
      </c>
      <c r="G58">
        <v>54.5</v>
      </c>
      <c r="H58">
        <f>VLOOKUP(B58,'[1]First Year'!$T$419:$AB$513,9,0)</f>
        <v>57</v>
      </c>
      <c r="I58">
        <v>45</v>
      </c>
      <c r="J58">
        <v>58</v>
      </c>
      <c r="K58">
        <v>42</v>
      </c>
    </row>
    <row r="59" spans="1:11" ht="16" x14ac:dyDescent="0.4">
      <c r="A59">
        <v>58</v>
      </c>
      <c r="B59" s="1" t="s">
        <v>125</v>
      </c>
      <c r="C59" s="1" t="s">
        <v>126</v>
      </c>
      <c r="D59">
        <v>52.5</v>
      </c>
      <c r="E59">
        <v>53</v>
      </c>
      <c r="F59">
        <v>41</v>
      </c>
      <c r="G59">
        <v>47</v>
      </c>
      <c r="H59">
        <f>VLOOKUP(B59,'[1]First Year'!$T$419:$AB$513,9,0)</f>
        <v>54</v>
      </c>
      <c r="I59">
        <v>48</v>
      </c>
      <c r="J59">
        <v>59</v>
      </c>
      <c r="K59">
        <v>51</v>
      </c>
    </row>
    <row r="60" spans="1:11" ht="16" x14ac:dyDescent="0.4">
      <c r="A60">
        <v>59</v>
      </c>
      <c r="B60" s="1" t="s">
        <v>127</v>
      </c>
      <c r="C60" s="1" t="s">
        <v>128</v>
      </c>
      <c r="D60">
        <v>57</v>
      </c>
      <c r="E60">
        <v>63.5</v>
      </c>
      <c r="F60">
        <v>43</v>
      </c>
      <c r="G60">
        <v>54</v>
      </c>
      <c r="H60">
        <f>VLOOKUP(B60,'[1]First Year'!$T$419:$AB$513,9,0)</f>
        <v>59</v>
      </c>
      <c r="I60">
        <v>57.5</v>
      </c>
      <c r="J60">
        <v>57.5</v>
      </c>
      <c r="K60">
        <v>59</v>
      </c>
    </row>
    <row r="61" spans="1:11" ht="16" x14ac:dyDescent="0.4">
      <c r="A61">
        <v>60</v>
      </c>
      <c r="B61" s="1" t="s">
        <v>129</v>
      </c>
      <c r="C61" s="1" t="s">
        <v>130</v>
      </c>
      <c r="D61">
        <v>61.5</v>
      </c>
      <c r="E61">
        <v>61.5</v>
      </c>
      <c r="F61">
        <v>51</v>
      </c>
      <c r="G61">
        <v>48.5</v>
      </c>
      <c r="H61">
        <f>VLOOKUP(B61,'[1]First Year'!$T$419:$AB$513,9,0)</f>
        <v>58</v>
      </c>
      <c r="I61">
        <v>47.5</v>
      </c>
      <c r="J61">
        <v>60</v>
      </c>
      <c r="K61">
        <v>61</v>
      </c>
    </row>
    <row r="62" spans="1:11" ht="16" x14ac:dyDescent="0.4">
      <c r="A62">
        <v>61</v>
      </c>
      <c r="B62" s="1" t="s">
        <v>131</v>
      </c>
      <c r="C62" s="1" t="s">
        <v>132</v>
      </c>
      <c r="D62">
        <v>51.5</v>
      </c>
      <c r="E62">
        <v>49</v>
      </c>
      <c r="F62">
        <v>42</v>
      </c>
      <c r="G62">
        <v>53.5</v>
      </c>
      <c r="H62">
        <f>VLOOKUP(B62,'[1]First Year'!$T$419:$AB$513,9,0)</f>
        <v>51</v>
      </c>
      <c r="I62">
        <v>39.5</v>
      </c>
      <c r="J62">
        <v>50.5</v>
      </c>
      <c r="K62">
        <v>49</v>
      </c>
    </row>
    <row r="63" spans="1:11" ht="16" x14ac:dyDescent="0.4">
      <c r="A63">
        <v>62</v>
      </c>
      <c r="B63" s="1" t="s">
        <v>133</v>
      </c>
      <c r="C63" s="1" t="s">
        <v>134</v>
      </c>
      <c r="D63">
        <v>51</v>
      </c>
      <c r="E63">
        <v>61</v>
      </c>
      <c r="F63">
        <v>48</v>
      </c>
      <c r="G63">
        <v>48</v>
      </c>
      <c r="H63">
        <f>VLOOKUP(B63,'[1]First Year'!$T$419:$AB$513,9,0)</f>
        <v>46</v>
      </c>
      <c r="I63" s="2" t="s">
        <v>200</v>
      </c>
      <c r="J63">
        <v>56.5</v>
      </c>
      <c r="K63">
        <v>59</v>
      </c>
    </row>
    <row r="64" spans="1:11" ht="16" x14ac:dyDescent="0.4">
      <c r="A64">
        <v>63</v>
      </c>
      <c r="B64" s="1" t="s">
        <v>135</v>
      </c>
      <c r="C64" s="1" t="s">
        <v>136</v>
      </c>
      <c r="D64">
        <v>57</v>
      </c>
      <c r="E64">
        <v>54</v>
      </c>
      <c r="F64">
        <v>46</v>
      </c>
      <c r="G64">
        <v>56.5</v>
      </c>
      <c r="H64">
        <f>VLOOKUP(B64,'[1]First Year'!$T$419:$AB$513,9,0)</f>
        <v>45</v>
      </c>
      <c r="I64">
        <v>51</v>
      </c>
      <c r="J64">
        <v>56</v>
      </c>
      <c r="K64">
        <v>51</v>
      </c>
    </row>
    <row r="65" spans="1:12" ht="16" x14ac:dyDescent="0.4">
      <c r="A65">
        <v>64</v>
      </c>
      <c r="B65" s="1" t="s">
        <v>137</v>
      </c>
      <c r="C65" s="1" t="s">
        <v>138</v>
      </c>
      <c r="D65">
        <v>59.5</v>
      </c>
      <c r="E65">
        <v>55.5</v>
      </c>
      <c r="F65">
        <v>44</v>
      </c>
      <c r="G65">
        <v>55.5</v>
      </c>
      <c r="H65">
        <f>VLOOKUP(B65,'[1]First Year'!$T$419:$AB$513,9,0)</f>
        <v>45.5</v>
      </c>
      <c r="I65">
        <v>39</v>
      </c>
      <c r="J65">
        <v>52</v>
      </c>
      <c r="K65">
        <v>38</v>
      </c>
    </row>
    <row r="66" spans="1:12" ht="16" x14ac:dyDescent="0.4">
      <c r="A66">
        <v>65</v>
      </c>
      <c r="B66" s="1" t="s">
        <v>139</v>
      </c>
      <c r="C66" s="1" t="s">
        <v>140</v>
      </c>
      <c r="D66">
        <v>44</v>
      </c>
      <c r="E66">
        <v>58.5</v>
      </c>
      <c r="F66">
        <v>50</v>
      </c>
      <c r="G66">
        <v>57.5</v>
      </c>
      <c r="H66">
        <f>VLOOKUP(B66,'[1]First Year'!$T$419:$AB$513,9,0)</f>
        <v>54</v>
      </c>
      <c r="I66">
        <v>41.5</v>
      </c>
      <c r="J66">
        <v>60</v>
      </c>
      <c r="K66">
        <v>52</v>
      </c>
    </row>
    <row r="67" spans="1:12" ht="16" x14ac:dyDescent="0.4">
      <c r="A67">
        <v>66</v>
      </c>
      <c r="B67" s="1" t="s">
        <v>141</v>
      </c>
      <c r="C67" s="1" t="s">
        <v>142</v>
      </c>
      <c r="D67">
        <v>50</v>
      </c>
      <c r="E67">
        <v>51</v>
      </c>
      <c r="F67">
        <v>46</v>
      </c>
      <c r="G67">
        <v>50</v>
      </c>
      <c r="H67">
        <f>VLOOKUP(B67,'[1]First Year'!$T$419:$AB$513,9,0)</f>
        <v>53.5</v>
      </c>
      <c r="I67">
        <v>52.5</v>
      </c>
      <c r="J67">
        <v>51</v>
      </c>
      <c r="K67">
        <v>45</v>
      </c>
    </row>
    <row r="68" spans="1:12" ht="16" x14ac:dyDescent="0.4">
      <c r="A68">
        <v>67</v>
      </c>
      <c r="B68" s="1" t="s">
        <v>143</v>
      </c>
      <c r="C68" s="1" t="s">
        <v>144</v>
      </c>
      <c r="D68">
        <v>58</v>
      </c>
      <c r="E68">
        <v>50</v>
      </c>
      <c r="F68">
        <v>43</v>
      </c>
      <c r="G68">
        <v>51.5</v>
      </c>
      <c r="H68">
        <f>VLOOKUP(B68,'[1]First Year'!$T$419:$AB$513,9,0)</f>
        <v>32</v>
      </c>
      <c r="I68">
        <v>38.5</v>
      </c>
      <c r="J68">
        <v>45</v>
      </c>
      <c r="K68">
        <v>43</v>
      </c>
    </row>
    <row r="69" spans="1:12" ht="16" x14ac:dyDescent="0.4">
      <c r="A69">
        <v>68</v>
      </c>
      <c r="B69" s="1" t="s">
        <v>145</v>
      </c>
      <c r="C69" s="1" t="s">
        <v>146</v>
      </c>
      <c r="D69">
        <v>46.5</v>
      </c>
      <c r="E69">
        <v>50.5</v>
      </c>
      <c r="F69">
        <v>56</v>
      </c>
      <c r="G69">
        <v>53</v>
      </c>
      <c r="H69">
        <f>VLOOKUP(B69,'[1]First Year'!$T$419:$AB$513,9,0)</f>
        <v>57.5</v>
      </c>
      <c r="I69">
        <v>45.5</v>
      </c>
      <c r="J69">
        <v>50.5</v>
      </c>
      <c r="K69">
        <v>55</v>
      </c>
    </row>
    <row r="70" spans="1:12" ht="16" x14ac:dyDescent="0.4">
      <c r="A70">
        <v>69</v>
      </c>
      <c r="B70" s="1" t="s">
        <v>147</v>
      </c>
      <c r="C70" s="1" t="s">
        <v>148</v>
      </c>
      <c r="D70">
        <v>64.5</v>
      </c>
      <c r="E70">
        <v>62</v>
      </c>
      <c r="F70">
        <v>55</v>
      </c>
      <c r="G70">
        <v>58</v>
      </c>
      <c r="H70">
        <f>VLOOKUP(B70,'[1]First Year'!$T$419:$AB$513,9,0)</f>
        <v>61</v>
      </c>
      <c r="I70">
        <v>55</v>
      </c>
      <c r="J70">
        <v>63.5</v>
      </c>
      <c r="K70">
        <v>64</v>
      </c>
    </row>
    <row r="71" spans="1:12" ht="16" x14ac:dyDescent="0.4">
      <c r="A71">
        <v>70</v>
      </c>
      <c r="B71" s="1" t="s">
        <v>149</v>
      </c>
      <c r="C71" s="1" t="s">
        <v>150</v>
      </c>
      <c r="D71">
        <v>64</v>
      </c>
      <c r="E71">
        <v>66</v>
      </c>
      <c r="F71">
        <v>54</v>
      </c>
      <c r="G71">
        <v>54</v>
      </c>
      <c r="H71">
        <f>VLOOKUP(B71,'[1]First Year'!$T$419:$AB$513,9,0)</f>
        <v>65</v>
      </c>
      <c r="I71">
        <v>61</v>
      </c>
      <c r="J71">
        <v>62.5</v>
      </c>
      <c r="K71">
        <v>70</v>
      </c>
    </row>
    <row r="72" spans="1:12" ht="16" x14ac:dyDescent="0.4">
      <c r="A72">
        <v>71</v>
      </c>
      <c r="B72" s="1" t="s">
        <v>151</v>
      </c>
      <c r="C72" s="1" t="s">
        <v>152</v>
      </c>
      <c r="D72">
        <v>55.5</v>
      </c>
      <c r="E72">
        <v>58.5</v>
      </c>
      <c r="F72">
        <v>49</v>
      </c>
      <c r="G72">
        <v>47.5</v>
      </c>
      <c r="H72">
        <f>VLOOKUP(B72,'[1]First Year'!$T$419:$AB$513,9,0)</f>
        <v>59</v>
      </c>
      <c r="I72">
        <v>51</v>
      </c>
      <c r="J72">
        <v>50.5</v>
      </c>
      <c r="K72">
        <v>55</v>
      </c>
    </row>
    <row r="73" spans="1:12" ht="16" x14ac:dyDescent="0.4">
      <c r="A73">
        <v>72</v>
      </c>
      <c r="B73" s="1" t="s">
        <v>153</v>
      </c>
      <c r="C73" s="1" t="s">
        <v>154</v>
      </c>
      <c r="D73">
        <v>51.5</v>
      </c>
      <c r="E73">
        <v>56</v>
      </c>
      <c r="F73">
        <v>46</v>
      </c>
      <c r="G73">
        <v>47.5</v>
      </c>
      <c r="H73">
        <f>VLOOKUP(B73,'[1]First Year'!$T$419:$AB$513,9,0)</f>
        <v>59.5</v>
      </c>
      <c r="I73">
        <v>41.5</v>
      </c>
      <c r="J73">
        <v>56.5</v>
      </c>
      <c r="K73">
        <v>55</v>
      </c>
    </row>
    <row r="74" spans="1:12" ht="16" x14ac:dyDescent="0.4">
      <c r="A74">
        <v>73</v>
      </c>
      <c r="B74" s="1" t="s">
        <v>155</v>
      </c>
      <c r="C74" s="1" t="s">
        <v>156</v>
      </c>
      <c r="D74">
        <v>45.5</v>
      </c>
      <c r="E74">
        <v>60</v>
      </c>
      <c r="F74">
        <v>45</v>
      </c>
      <c r="G74">
        <v>48.5</v>
      </c>
      <c r="H74">
        <f>VLOOKUP(B74,'[1]First Year'!$T$419:$AB$513,9,0)</f>
        <v>58.5</v>
      </c>
      <c r="I74">
        <v>55</v>
      </c>
      <c r="J74">
        <v>58</v>
      </c>
      <c r="K74">
        <v>56</v>
      </c>
    </row>
    <row r="75" spans="1:12" ht="16" x14ac:dyDescent="0.4">
      <c r="A75">
        <v>74</v>
      </c>
      <c r="B75" s="1" t="s">
        <v>157</v>
      </c>
      <c r="C75" s="1" t="s">
        <v>158</v>
      </c>
      <c r="D75" t="s">
        <v>199</v>
      </c>
      <c r="E75">
        <v>53</v>
      </c>
      <c r="F75">
        <v>55</v>
      </c>
      <c r="G75">
        <v>57.5</v>
      </c>
      <c r="H75">
        <f>VLOOKUP(B75,'[1]First Year'!$T$419:$AB$513,9,0)</f>
        <v>60</v>
      </c>
      <c r="I75">
        <v>47</v>
      </c>
      <c r="J75">
        <v>58</v>
      </c>
      <c r="K75">
        <v>53</v>
      </c>
      <c r="L75" t="s">
        <v>199</v>
      </c>
    </row>
    <row r="76" spans="1:12" ht="16" x14ac:dyDescent="0.4">
      <c r="A76">
        <v>75</v>
      </c>
      <c r="B76" s="1" t="s">
        <v>159</v>
      </c>
      <c r="C76" s="1" t="s">
        <v>160</v>
      </c>
      <c r="D76">
        <v>54</v>
      </c>
      <c r="E76">
        <v>61</v>
      </c>
      <c r="F76">
        <v>42</v>
      </c>
      <c r="G76">
        <v>49.5</v>
      </c>
      <c r="H76">
        <f>VLOOKUP(B76,'[1]First Year'!$T$419:$AB$513,9,0)</f>
        <v>51.5</v>
      </c>
      <c r="I76">
        <v>46</v>
      </c>
      <c r="J76">
        <v>53</v>
      </c>
      <c r="K76">
        <v>50</v>
      </c>
    </row>
    <row r="77" spans="1:12" ht="16" x14ac:dyDescent="0.4">
      <c r="A77">
        <v>76</v>
      </c>
      <c r="B77" s="1" t="s">
        <v>161</v>
      </c>
      <c r="C77" s="1" t="s">
        <v>162</v>
      </c>
      <c r="D77">
        <v>42</v>
      </c>
      <c r="E77">
        <v>48.5</v>
      </c>
      <c r="F77">
        <v>39</v>
      </c>
      <c r="G77">
        <v>39</v>
      </c>
      <c r="H77">
        <f>VLOOKUP(B77,'[1]First Year'!$T$419:$AB$513,9,0)</f>
        <v>50</v>
      </c>
      <c r="I77">
        <v>41.5</v>
      </c>
      <c r="J77">
        <v>47</v>
      </c>
      <c r="K77">
        <v>59</v>
      </c>
    </row>
    <row r="78" spans="1:12" ht="16" x14ac:dyDescent="0.4">
      <c r="A78">
        <v>77</v>
      </c>
      <c r="B78" s="1" t="s">
        <v>163</v>
      </c>
      <c r="C78" s="1" t="s">
        <v>164</v>
      </c>
      <c r="D78">
        <v>45.5</v>
      </c>
      <c r="E78">
        <v>48.5</v>
      </c>
      <c r="F78">
        <v>49</v>
      </c>
      <c r="G78">
        <v>49</v>
      </c>
      <c r="H78">
        <f>VLOOKUP(B78,'[1]First Year'!$T$419:$AB$513,9,0)</f>
        <v>55</v>
      </c>
      <c r="I78" s="2" t="s">
        <v>200</v>
      </c>
      <c r="J78">
        <v>59.5</v>
      </c>
      <c r="K78">
        <v>59</v>
      </c>
    </row>
    <row r="79" spans="1:12" ht="16" x14ac:dyDescent="0.4">
      <c r="A79">
        <v>78</v>
      </c>
      <c r="B79" s="1" t="s">
        <v>165</v>
      </c>
      <c r="C79" s="1" t="s">
        <v>166</v>
      </c>
      <c r="D79">
        <v>54</v>
      </c>
      <c r="E79">
        <v>60.5</v>
      </c>
      <c r="F79">
        <v>46</v>
      </c>
      <c r="G79">
        <v>59</v>
      </c>
      <c r="H79">
        <f>VLOOKUP(B79,'[1]First Year'!$T$419:$AB$513,9,0)</f>
        <v>48.5</v>
      </c>
      <c r="I79">
        <v>50.5</v>
      </c>
      <c r="J79">
        <v>63</v>
      </c>
      <c r="K79">
        <v>59</v>
      </c>
    </row>
    <row r="80" spans="1:12" ht="16" x14ac:dyDescent="0.4">
      <c r="A80">
        <v>79</v>
      </c>
      <c r="B80" s="1" t="s">
        <v>167</v>
      </c>
      <c r="C80" s="1" t="s">
        <v>168</v>
      </c>
      <c r="D80">
        <v>52.5</v>
      </c>
      <c r="E80">
        <v>55.5</v>
      </c>
      <c r="F80">
        <v>47</v>
      </c>
      <c r="G80">
        <v>46</v>
      </c>
      <c r="H80">
        <f>VLOOKUP(B80,'[1]First Year'!$T$419:$AB$513,9,0)</f>
        <v>58.5</v>
      </c>
      <c r="I80">
        <v>51</v>
      </c>
      <c r="J80">
        <v>60</v>
      </c>
      <c r="K80">
        <v>52</v>
      </c>
    </row>
    <row r="81" spans="1:11" ht="16" x14ac:dyDescent="0.4">
      <c r="A81">
        <v>80</v>
      </c>
      <c r="B81" s="1" t="s">
        <v>169</v>
      </c>
      <c r="C81" s="1" t="s">
        <v>170</v>
      </c>
      <c r="D81">
        <v>41</v>
      </c>
      <c r="E81">
        <v>57.5</v>
      </c>
      <c r="F81">
        <v>50</v>
      </c>
      <c r="G81">
        <v>50</v>
      </c>
      <c r="H81">
        <f>VLOOKUP(B81,'[1]First Year'!$T$419:$AB$513,9,0)</f>
        <v>52</v>
      </c>
      <c r="I81">
        <v>51</v>
      </c>
      <c r="J81">
        <v>57</v>
      </c>
      <c r="K81">
        <v>50</v>
      </c>
    </row>
    <row r="82" spans="1:11" ht="16" x14ac:dyDescent="0.4">
      <c r="A82">
        <v>81</v>
      </c>
      <c r="B82" s="1" t="s">
        <v>171</v>
      </c>
      <c r="C82" s="1" t="s">
        <v>172</v>
      </c>
      <c r="D82">
        <v>61.5</v>
      </c>
      <c r="E82">
        <v>55</v>
      </c>
      <c r="F82">
        <v>54</v>
      </c>
      <c r="G82">
        <v>54</v>
      </c>
      <c r="H82">
        <f>VLOOKUP(B82,'[1]First Year'!$T$419:$AB$513,9,0)</f>
        <v>49</v>
      </c>
      <c r="I82">
        <v>50.5</v>
      </c>
      <c r="J82">
        <v>58</v>
      </c>
      <c r="K82">
        <v>61</v>
      </c>
    </row>
    <row r="83" spans="1:11" ht="16" x14ac:dyDescent="0.4">
      <c r="A83">
        <v>82</v>
      </c>
      <c r="B83" s="1" t="s">
        <v>173</v>
      </c>
      <c r="C83" s="1" t="s">
        <v>174</v>
      </c>
      <c r="D83">
        <v>57.5</v>
      </c>
      <c r="E83">
        <v>52</v>
      </c>
      <c r="F83">
        <v>46</v>
      </c>
      <c r="G83">
        <v>63</v>
      </c>
      <c r="H83">
        <f>VLOOKUP(B83,'[1]First Year'!$T$419:$AB$513,9,0)</f>
        <v>53</v>
      </c>
      <c r="I83">
        <v>48.5</v>
      </c>
      <c r="J83">
        <v>57</v>
      </c>
      <c r="K83">
        <v>57</v>
      </c>
    </row>
    <row r="84" spans="1:11" ht="16" x14ac:dyDescent="0.4">
      <c r="A84">
        <v>83</v>
      </c>
      <c r="B84" s="1" t="s">
        <v>175</v>
      </c>
      <c r="C84" s="1" t="s">
        <v>176</v>
      </c>
      <c r="D84">
        <v>41</v>
      </c>
      <c r="E84">
        <v>45</v>
      </c>
      <c r="F84">
        <v>38</v>
      </c>
      <c r="G84">
        <v>56</v>
      </c>
      <c r="H84">
        <f>VLOOKUP(B84,'[1]First Year'!$T$419:$AB$513,9,0)</f>
        <v>35</v>
      </c>
      <c r="I84" s="2" t="s">
        <v>200</v>
      </c>
      <c r="J84">
        <v>51.5</v>
      </c>
      <c r="K84">
        <v>50</v>
      </c>
    </row>
    <row r="85" spans="1:11" ht="16" x14ac:dyDescent="0.4">
      <c r="A85">
        <v>84</v>
      </c>
      <c r="B85" s="1" t="s">
        <v>177</v>
      </c>
      <c r="C85" s="1" t="s">
        <v>178</v>
      </c>
      <c r="D85">
        <v>49</v>
      </c>
      <c r="E85">
        <v>51</v>
      </c>
      <c r="F85">
        <v>43</v>
      </c>
      <c r="G85">
        <v>55.5</v>
      </c>
      <c r="H85">
        <f>VLOOKUP(B85,'[1]First Year'!$T$419:$AB$513,9,0)</f>
        <v>44</v>
      </c>
      <c r="I85" s="2" t="s">
        <v>200</v>
      </c>
      <c r="J85">
        <v>48.5</v>
      </c>
      <c r="K85">
        <v>35</v>
      </c>
    </row>
    <row r="86" spans="1:11" ht="16" x14ac:dyDescent="0.4">
      <c r="A86">
        <v>85</v>
      </c>
      <c r="B86" s="1" t="s">
        <v>179</v>
      </c>
      <c r="C86" s="1" t="s">
        <v>180</v>
      </c>
      <c r="D86">
        <v>52.5</v>
      </c>
      <c r="E86">
        <v>52.5</v>
      </c>
      <c r="F86">
        <v>31</v>
      </c>
      <c r="G86">
        <v>42</v>
      </c>
      <c r="H86">
        <f>VLOOKUP(B86,'[1]First Year'!$T$419:$AB$513,9,0)</f>
        <v>39</v>
      </c>
      <c r="I86" s="2" t="s">
        <v>200</v>
      </c>
      <c r="J86">
        <v>46</v>
      </c>
      <c r="K86">
        <v>50</v>
      </c>
    </row>
    <row r="87" spans="1:11" ht="16" x14ac:dyDescent="0.4">
      <c r="A87">
        <v>86</v>
      </c>
      <c r="B87" s="1" t="s">
        <v>181</v>
      </c>
      <c r="C87" s="1" t="s">
        <v>182</v>
      </c>
      <c r="D87">
        <v>45.5</v>
      </c>
      <c r="E87">
        <v>54.5</v>
      </c>
      <c r="F87">
        <v>50</v>
      </c>
      <c r="G87">
        <v>49.5</v>
      </c>
      <c r="H87">
        <f>VLOOKUP(B87,'[1]First Year'!$T$419:$AB$513,9,0)</f>
        <v>53.5</v>
      </c>
      <c r="I87">
        <v>51.5</v>
      </c>
      <c r="J87">
        <v>53</v>
      </c>
      <c r="K87">
        <v>49</v>
      </c>
    </row>
    <row r="88" spans="1:11" ht="16" x14ac:dyDescent="0.4">
      <c r="A88">
        <v>87</v>
      </c>
      <c r="B88" s="1" t="s">
        <v>183</v>
      </c>
      <c r="C88" s="1" t="s">
        <v>184</v>
      </c>
      <c r="D88">
        <v>55.5</v>
      </c>
      <c r="E88">
        <v>50</v>
      </c>
      <c r="F88">
        <v>46</v>
      </c>
      <c r="G88">
        <v>59.5</v>
      </c>
      <c r="H88">
        <f>VLOOKUP(B88,'[1]First Year'!$T$419:$AB$513,9,0)</f>
        <v>52.5</v>
      </c>
      <c r="I88" s="2" t="s">
        <v>200</v>
      </c>
      <c r="J88">
        <v>44</v>
      </c>
      <c r="K88">
        <v>36</v>
      </c>
    </row>
    <row r="89" spans="1:11" ht="16" x14ac:dyDescent="0.4">
      <c r="A89">
        <v>88</v>
      </c>
      <c r="B89" s="1" t="s">
        <v>185</v>
      </c>
      <c r="C89" s="1" t="s">
        <v>186</v>
      </c>
      <c r="D89">
        <v>47.5</v>
      </c>
      <c r="E89">
        <v>54.5</v>
      </c>
      <c r="F89">
        <v>41</v>
      </c>
      <c r="G89">
        <v>53.5</v>
      </c>
      <c r="H89">
        <f>VLOOKUP(B89,'[1]First Year'!$T$419:$AB$513,9,0)</f>
        <v>53.5</v>
      </c>
      <c r="I89">
        <v>53</v>
      </c>
      <c r="J89">
        <v>57.5</v>
      </c>
      <c r="K89">
        <v>55</v>
      </c>
    </row>
    <row r="90" spans="1:11" ht="16" x14ac:dyDescent="0.4">
      <c r="A90">
        <v>89</v>
      </c>
      <c r="B90" s="1" t="s">
        <v>187</v>
      </c>
      <c r="C90" s="1" t="s">
        <v>188</v>
      </c>
      <c r="D90">
        <v>49</v>
      </c>
      <c r="E90">
        <v>60.5</v>
      </c>
      <c r="F90">
        <v>44</v>
      </c>
      <c r="G90">
        <v>54</v>
      </c>
      <c r="H90">
        <f>VLOOKUP(B90,'[1]First Year'!$T$419:$AB$513,9,0)</f>
        <v>51.5</v>
      </c>
      <c r="I90">
        <v>59.5</v>
      </c>
      <c r="J90">
        <v>55</v>
      </c>
      <c r="K90">
        <v>55</v>
      </c>
    </row>
    <row r="91" spans="1:11" ht="16" x14ac:dyDescent="0.4">
      <c r="A91">
        <v>90</v>
      </c>
      <c r="B91" s="1" t="s">
        <v>189</v>
      </c>
      <c r="C91" s="1" t="s">
        <v>190</v>
      </c>
      <c r="D91">
        <v>54.5</v>
      </c>
      <c r="E91">
        <v>60.5</v>
      </c>
      <c r="F91">
        <v>50</v>
      </c>
      <c r="G91">
        <v>58</v>
      </c>
      <c r="H91">
        <f>VLOOKUP(B91,'[1]First Year'!$T$419:$AB$513,9,0)</f>
        <v>56.5</v>
      </c>
      <c r="I91">
        <v>46.5</v>
      </c>
      <c r="J91">
        <v>60</v>
      </c>
      <c r="K91">
        <v>44</v>
      </c>
    </row>
    <row r="92" spans="1:11" ht="16" x14ac:dyDescent="0.4">
      <c r="A92">
        <v>91</v>
      </c>
      <c r="B92" s="1" t="s">
        <v>191</v>
      </c>
      <c r="C92" s="1" t="s">
        <v>192</v>
      </c>
      <c r="D92">
        <v>51</v>
      </c>
      <c r="E92">
        <v>57.5</v>
      </c>
      <c r="F92">
        <v>42</v>
      </c>
      <c r="G92">
        <v>49.5</v>
      </c>
      <c r="H92">
        <f>VLOOKUP(B92,'[1]First Year'!$T$419:$AB$513,9,0)</f>
        <v>46.5</v>
      </c>
      <c r="I92">
        <v>39.5</v>
      </c>
      <c r="J92">
        <v>52.5</v>
      </c>
      <c r="K92">
        <v>43</v>
      </c>
    </row>
    <row r="93" spans="1:11" ht="16" x14ac:dyDescent="0.4">
      <c r="A93">
        <v>92</v>
      </c>
      <c r="B93" s="1" t="s">
        <v>193</v>
      </c>
      <c r="C93" s="1" t="s">
        <v>194</v>
      </c>
      <c r="D93">
        <v>59</v>
      </c>
      <c r="E93">
        <v>63</v>
      </c>
      <c r="F93">
        <v>56</v>
      </c>
      <c r="G93">
        <v>61</v>
      </c>
      <c r="H93">
        <f>VLOOKUP(B93,'[1]First Year'!$T$419:$AB$513,9,0)</f>
        <v>60</v>
      </c>
      <c r="I93">
        <v>55</v>
      </c>
      <c r="J93">
        <v>60</v>
      </c>
      <c r="K93">
        <v>55</v>
      </c>
    </row>
    <row r="94" spans="1:11" ht="16" x14ac:dyDescent="0.4">
      <c r="A94">
        <v>93</v>
      </c>
      <c r="B94" s="1" t="s">
        <v>195</v>
      </c>
      <c r="C94" s="1" t="s">
        <v>196</v>
      </c>
      <c r="D94">
        <v>45.5</v>
      </c>
      <c r="E94" s="2" t="s">
        <v>200</v>
      </c>
      <c r="F94">
        <v>46</v>
      </c>
      <c r="G94">
        <v>54</v>
      </c>
      <c r="H94">
        <f>VLOOKUP(B94,'[1]First Year'!$T$419:$AB$513,9,0)</f>
        <v>35.5</v>
      </c>
      <c r="I94" s="2" t="s">
        <v>200</v>
      </c>
      <c r="J94">
        <v>47</v>
      </c>
      <c r="K94">
        <v>51</v>
      </c>
    </row>
    <row r="95" spans="1:11" ht="16" x14ac:dyDescent="0.4">
      <c r="A95">
        <v>94</v>
      </c>
      <c r="B95" s="1" t="s">
        <v>197</v>
      </c>
      <c r="C95" s="1" t="s">
        <v>198</v>
      </c>
      <c r="D95">
        <v>55.5</v>
      </c>
      <c r="E95">
        <v>57</v>
      </c>
      <c r="F95">
        <v>48</v>
      </c>
      <c r="G95">
        <v>50.5</v>
      </c>
      <c r="H95">
        <f>VLOOKUP(B95,'[1]First Year'!$T$419:$AB$513,9,0)</f>
        <v>52</v>
      </c>
      <c r="I95" s="2" t="s">
        <v>200</v>
      </c>
      <c r="J95">
        <v>51</v>
      </c>
      <c r="K95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2025-11-27T12:25:26Z</dcterms:modified>
</cp:coreProperties>
</file>